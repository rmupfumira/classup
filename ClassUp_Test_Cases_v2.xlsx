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st Cases" sheetId="2" state="visible" r:id="rId2"/>
    <sheet name="Summary" sheetId="3" state="visible" r:id="rId3"/>
  </sheets>
  <definedNames>
    <definedName name="_xlnm._FilterDatabase" localSheetId="1" hidden="1">'Test Cases'!$A$1:$L$139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7C3AED"/>
      <sz val="18"/>
    </font>
    <font>
      <name val="Arial"/>
      <i val="1"/>
      <color rgb="006B7280"/>
      <sz val="11"/>
    </font>
    <font>
      <name val="Arial"/>
      <b val="1"/>
      <color rgb="00111827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DC2626"/>
      <sz val="10"/>
    </font>
    <font>
      <name val="Arial"/>
      <b val="1"/>
      <color rgb="00EA580C"/>
      <sz val="10"/>
    </font>
    <font>
      <name val="Arial"/>
      <b val="1"/>
      <color rgb="00CA8A04"/>
      <sz val="10"/>
    </font>
    <font>
      <name val="Arial"/>
      <b val="1"/>
      <color rgb="006B7280"/>
      <sz val="10"/>
    </font>
    <font>
      <name val="Arial"/>
      <b val="1"/>
      <color rgb="007C3AED"/>
      <sz val="16"/>
    </font>
    <font>
      <name val="Arial"/>
      <b val="1"/>
      <sz val="12"/>
    </font>
  </fonts>
  <fills count="18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CE7F3"/>
      </patternFill>
    </fill>
    <fill>
      <patternFill patternType="solid">
        <fgColor rgb="00E0E7FF"/>
      </patternFill>
    </fill>
    <fill>
      <patternFill patternType="solid">
        <fgColor rgb="00CFFAFE"/>
      </patternFill>
    </fill>
    <fill>
      <patternFill patternType="solid">
        <fgColor rgb="00F3E8FF"/>
      </patternFill>
    </fill>
    <fill>
      <patternFill patternType="solid">
        <fgColor rgb="00FFEDD5"/>
      </patternFill>
    </fill>
    <fill>
      <patternFill patternType="solid">
        <fgColor rgb="00ECFCCB"/>
      </patternFill>
    </fill>
    <fill>
      <patternFill patternType="solid">
        <fgColor rgb="00FEF9C3"/>
      </patternFill>
    </fill>
    <fill>
      <patternFill patternType="solid">
        <fgColor rgb="00F5F5F4"/>
      </patternFill>
    </fill>
    <fill>
      <patternFill patternType="solid">
        <fgColor rgb="00FECACA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5" fillId="17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6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0" fontId="4" fillId="6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4" fillId="8" borderId="1" applyAlignment="1" pivotButton="0" quotePrefix="0" xfId="0">
      <alignment horizontal="left"/>
    </xf>
    <xf numFmtId="0" fontId="4" fillId="9" borderId="1" applyAlignment="1" pivotButton="0" quotePrefix="0" xfId="0">
      <alignment horizontal="left"/>
    </xf>
    <xf numFmtId="0" fontId="4" fillId="10" borderId="1" applyAlignment="1" pivotButton="0" quotePrefix="0" xfId="0">
      <alignment horizontal="left"/>
    </xf>
    <xf numFmtId="0" fontId="4" fillId="11" borderId="1" applyAlignment="1" pivotButton="0" quotePrefix="0" xfId="0">
      <alignment horizontal="left"/>
    </xf>
    <xf numFmtId="0" fontId="4" fillId="12" borderId="1" applyAlignment="1" pivotButton="0" quotePrefix="0" xfId="0">
      <alignment horizontal="left"/>
    </xf>
    <xf numFmtId="0" fontId="4" fillId="13" borderId="1" applyAlignment="1" pivotButton="0" quotePrefix="0" xfId="0">
      <alignment horizontal="left"/>
    </xf>
    <xf numFmtId="0" fontId="4" fillId="14" borderId="1" applyAlignment="1" pivotButton="0" quotePrefix="0" xfId="0">
      <alignment horizontal="left"/>
    </xf>
    <xf numFmtId="0" fontId="4" fillId="15" borderId="1" applyAlignment="1" pivotButton="0" quotePrefix="0" xfId="0">
      <alignment horizontal="left"/>
    </xf>
    <xf numFmtId="0" fontId="4" fillId="16" borderId="1" applyAlignment="1" pivotButton="0" quotePrefix="0" xfId="0">
      <alignment horizontal="left"/>
    </xf>
    <xf numFmtId="0" fontId="4" fillId="17" borderId="1" applyAlignment="1" pivotButton="0" quotePrefix="0" xfId="0">
      <alignment horizontal="left"/>
    </xf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ClassUp QA Test Plan</t>
        </is>
      </c>
    </row>
    <row r="2">
      <c r="A2" s="2" t="inlineStr">
        <is>
          <t>End-to-end test cases covering every feature of ClassUp v2</t>
        </is>
      </c>
    </row>
    <row r="4">
      <c r="A4" s="3" t="inlineStr">
        <is>
          <t>How to use this sheet</t>
        </is>
      </c>
    </row>
    <row r="5">
      <c r="A5" s="4" t="inlineStr">
        <is>
          <t>1.</t>
        </is>
      </c>
      <c r="B5" s="5" t="inlineStr">
        <is>
          <t>Go to the 'Test Cases' tab.</t>
        </is>
      </c>
    </row>
    <row r="6">
      <c r="A6" s="4" t="inlineStr">
        <is>
          <t>2.</t>
        </is>
      </c>
      <c r="B6" s="5" t="inlineStr">
        <is>
          <t>Work through each row in order (tests are grouped by module).</t>
        </is>
      </c>
    </row>
    <row r="7">
      <c r="A7" s="4" t="inlineStr">
        <is>
          <t>3.</t>
        </is>
      </c>
      <c r="B7" s="5" t="inlineStr">
        <is>
          <t>Follow the 'Pre-conditions' and 'Test Steps' columns.</t>
        </is>
      </c>
    </row>
    <row r="8">
      <c r="A8" s="4" t="inlineStr">
        <is>
          <t>4.</t>
        </is>
      </c>
      <c r="B8" s="5" t="inlineStr">
        <is>
          <t>Compare the app's behaviour with the 'Expected Outcome' column.</t>
        </is>
      </c>
    </row>
    <row r="9">
      <c r="A9" s="4" t="inlineStr">
        <is>
          <t>5.</t>
        </is>
      </c>
      <c r="B9" s="5" t="inlineStr">
        <is>
          <t>Set 'Status' to Pass, Fail, Blocked, or Not Run using the dropdown.</t>
        </is>
      </c>
    </row>
    <row r="10">
      <c r="A10" s="4" t="inlineStr">
        <is>
          <t>6.</t>
        </is>
      </c>
      <c r="B10" s="5" t="inlineStr">
        <is>
          <t>Fill in 'Actual Result' with what you observed (important for failures).</t>
        </is>
      </c>
    </row>
    <row r="11">
      <c r="A11" s="4" t="inlineStr">
        <is>
          <t>7.</t>
        </is>
      </c>
      <c r="B11" s="5" t="inlineStr">
        <is>
          <t>Add any bug details or screenshot references in 'Notes / Bugs'.</t>
        </is>
      </c>
    </row>
    <row r="12">
      <c r="A12" s="4" t="inlineStr">
        <is>
          <t>8.</t>
        </is>
      </c>
      <c r="B12" s="5" t="inlineStr">
        <is>
          <t>The 'Summary' tab auto-calculates pass rates per module.</t>
        </is>
      </c>
    </row>
    <row r="14">
      <c r="A14" s="3" t="inlineStr">
        <is>
          <t>Priorities</t>
        </is>
      </c>
    </row>
    <row r="15">
      <c r="A15" s="4" t="inlineStr">
        <is>
          <t>Critical</t>
        </is>
      </c>
      <c r="B15" s="5" t="inlineStr">
        <is>
          <t>Must work before any launch. Blocks everything.</t>
        </is>
      </c>
    </row>
    <row r="16">
      <c r="A16" s="4" t="inlineStr">
        <is>
          <t>High</t>
        </is>
      </c>
      <c r="B16" s="5" t="inlineStr">
        <is>
          <t>Core feature, must work in first release.</t>
        </is>
      </c>
    </row>
    <row r="17">
      <c r="A17" s="4" t="inlineStr">
        <is>
          <t>Medium</t>
        </is>
      </c>
      <c r="B17" s="5" t="inlineStr">
        <is>
          <t>Important but not blocking.</t>
        </is>
      </c>
    </row>
    <row r="18">
      <c r="A18" s="4" t="inlineStr">
        <is>
          <t>Low</t>
        </is>
      </c>
      <c r="B18" s="5" t="inlineStr">
        <is>
          <t>Nice-to-have / edge case.</t>
        </is>
      </c>
    </row>
    <row r="20">
      <c r="A20" s="3" t="inlineStr">
        <is>
          <t>Test types</t>
        </is>
      </c>
    </row>
    <row r="21">
      <c r="A21" s="4" t="inlineStr">
        <is>
          <t>Smoke</t>
        </is>
      </c>
      <c r="B21" s="5" t="inlineStr">
        <is>
          <t>Core happy path — must always pass.</t>
        </is>
      </c>
    </row>
    <row r="22">
      <c r="A22" s="4" t="inlineStr">
        <is>
          <t>Functional</t>
        </is>
      </c>
      <c r="B22" s="5" t="inlineStr">
        <is>
          <t>Feature works as described.</t>
        </is>
      </c>
    </row>
    <row r="23">
      <c r="A23" s="4" t="inlineStr">
        <is>
          <t>Negative</t>
        </is>
      </c>
      <c r="B23" s="5" t="inlineStr">
        <is>
          <t>Invalid input is handled gracefully.</t>
        </is>
      </c>
    </row>
    <row r="24">
      <c r="A24" s="4" t="inlineStr">
        <is>
          <t>Security</t>
        </is>
      </c>
      <c r="B24" s="5" t="inlineStr">
        <is>
          <t>Permissions, injection, isolation.</t>
        </is>
      </c>
    </row>
    <row r="25">
      <c r="A25" s="4" t="inlineStr">
        <is>
          <t>Permission</t>
        </is>
      </c>
      <c r="B25" s="5" t="inlineStr">
        <is>
          <t>Role-based access control.</t>
        </is>
      </c>
    </row>
    <row r="26">
      <c r="A26" s="4" t="inlineStr">
        <is>
          <t>Regression</t>
        </is>
      </c>
      <c r="B26" s="5" t="inlineStr">
        <is>
          <t>Previously-found bug should not return.</t>
        </is>
      </c>
    </row>
    <row r="27">
      <c r="A27" s="4" t="inlineStr">
        <is>
          <t>UI</t>
        </is>
      </c>
      <c r="B27" s="5" t="inlineStr">
        <is>
          <t>Look, layout, responsive, copy.</t>
        </is>
      </c>
    </row>
    <row r="29">
      <c r="A29" s="3" t="inlineStr">
        <is>
          <t>Test accounts (ask dev team)</t>
        </is>
      </c>
    </row>
    <row r="30">
      <c r="A30" s="4" t="inlineStr">
        <is>
          <t>Super Admin</t>
        </is>
      </c>
      <c r="B30" s="5" t="inlineStr">
        <is>
          <t>russel@rfm.org.za</t>
        </is>
      </c>
    </row>
    <row r="31">
      <c r="A31" s="4" t="inlineStr">
        <is>
          <t>School Admin</t>
        </is>
      </c>
      <c r="B31" s="5" t="inlineStr">
        <is>
          <t>admin@sunshinedaycare.co.za</t>
        </is>
      </c>
    </row>
    <row r="32">
      <c r="A32" s="4" t="inlineStr">
        <is>
          <t>Teacher</t>
        </is>
      </c>
      <c r="B32" s="5" t="inlineStr">
        <is>
          <t>(provided separately)</t>
        </is>
      </c>
    </row>
    <row r="33">
      <c r="A33" s="4" t="inlineStr">
        <is>
          <t>Parent</t>
        </is>
      </c>
      <c r="B33" s="5" t="inlineStr">
        <is>
          <t>(provided separately)</t>
        </is>
      </c>
    </row>
    <row r="35">
      <c r="A35" s="4" t="inlineStr">
        <is>
          <t>Tester</t>
        </is>
      </c>
      <c r="B35" s="5" t="inlineStr">
        <is>
          <t>(Name)</t>
        </is>
      </c>
    </row>
    <row r="36">
      <c r="A36" s="4" t="inlineStr">
        <is>
          <t>Test environment</t>
        </is>
      </c>
      <c r="B36" s="5" t="inlineStr">
        <is>
          <t>(URL)</t>
        </is>
      </c>
    </row>
    <row r="37">
      <c r="A37" s="4" t="inlineStr">
        <is>
          <t>Test run date</t>
        </is>
      </c>
      <c r="B37" s="5" t="inlineStr">
        <is>
          <t>(YYYY-MM-DD)</t>
        </is>
      </c>
    </row>
    <row r="38">
      <c r="A38" s="4" t="inlineStr">
        <is>
          <t>Build / commit</t>
        </is>
      </c>
      <c r="B38" s="5" t="inlineStr">
        <is>
          <t>(git SHA)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36" customWidth="1" min="4" max="4"/>
    <col width="28" customWidth="1" min="5" max="5"/>
    <col width="42" customWidth="1" min="6" max="6"/>
    <col width="42" customWidth="1" min="7" max="7"/>
    <col width="11" customWidth="1" min="8" max="8"/>
    <col width="13" customWidth="1" min="9" max="9"/>
    <col width="13" customWidth="1" min="10" max="10"/>
    <col width="28" customWidth="1" min="11" max="11"/>
    <col width="28" customWidth="1" min="12" max="12"/>
  </cols>
  <sheetData>
    <row r="1" ht="28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Feature</t>
        </is>
      </c>
      <c r="D1" s="6" t="inlineStr">
        <is>
          <t>Test Case Description</t>
        </is>
      </c>
      <c r="E1" s="6" t="inlineStr">
        <is>
          <t>Pre-conditions</t>
        </is>
      </c>
      <c r="F1" s="6" t="inlineStr">
        <is>
          <t>Test Steps</t>
        </is>
      </c>
      <c r="G1" s="6" t="inlineStr">
        <is>
          <t>Expected Outcome</t>
        </is>
      </c>
      <c r="H1" s="6" t="inlineStr">
        <is>
          <t>Priority</t>
        </is>
      </c>
      <c r="I1" s="6" t="inlineStr">
        <is>
          <t>Type</t>
        </is>
      </c>
      <c r="J1" s="6" t="inlineStr">
        <is>
          <t>Status</t>
        </is>
      </c>
      <c r="K1" s="6" t="inlineStr">
        <is>
          <t>Actual Result</t>
        </is>
      </c>
      <c r="L1" s="6" t="inlineStr">
        <is>
          <t>Notes / Bugs</t>
        </is>
      </c>
    </row>
    <row r="2">
      <c r="A2" s="7" t="inlineStr">
        <is>
          <t>AUTH-001</t>
        </is>
      </c>
      <c r="B2" s="8" t="inlineStr">
        <is>
          <t>Authentication</t>
        </is>
      </c>
      <c r="C2" s="9" t="inlineStr">
        <is>
          <t>Login (happy path)</t>
        </is>
      </c>
      <c r="D2" s="9" t="inlineStr">
        <is>
          <t>Admin can log in with valid credentials</t>
        </is>
      </c>
      <c r="E2" s="9" t="inlineStr">
        <is>
          <t>School admin account exists</t>
        </is>
      </c>
      <c r="F2" s="9" t="inlineStr">
        <is>
          <t>1. Go to /login
2. Enter valid email + password
3. Click 'Log In'</t>
        </is>
      </c>
      <c r="G2" s="9" t="inlineStr">
        <is>
          <t>Redirected to /dashboard with welcome message. Session cookie set.</t>
        </is>
      </c>
      <c r="H2" s="10" t="inlineStr">
        <is>
          <t>Critical</t>
        </is>
      </c>
      <c r="I2" s="9" t="inlineStr">
        <is>
          <t>Smoke</t>
        </is>
      </c>
      <c r="J2" s="9" t="inlineStr">
        <is>
          <t>Not Run</t>
        </is>
      </c>
      <c r="K2" s="9" t="inlineStr"/>
      <c r="L2" s="9" t="inlineStr"/>
    </row>
    <row r="3">
      <c r="A3" s="7" t="inlineStr">
        <is>
          <t>AUTH-002</t>
        </is>
      </c>
      <c r="B3" s="8" t="inlineStr">
        <is>
          <t>Authentication</t>
        </is>
      </c>
      <c r="C3" s="9" t="inlineStr">
        <is>
          <t>Login (wrong password)</t>
        </is>
      </c>
      <c r="D3" s="9" t="inlineStr">
        <is>
          <t>Invalid password rejected</t>
        </is>
      </c>
      <c r="E3" s="9" t="inlineStr">
        <is>
          <t>School admin account exists</t>
        </is>
      </c>
      <c r="F3" s="9" t="inlineStr">
        <is>
          <t>1. Go to /login
2. Enter valid email + wrong password
3. Click 'Log In'</t>
        </is>
      </c>
      <c r="G3" s="9" t="inlineStr">
        <is>
          <t>Error message shown. Still on /login. No session cookie.</t>
        </is>
      </c>
      <c r="H3" s="10" t="inlineStr">
        <is>
          <t>Critical</t>
        </is>
      </c>
      <c r="I3" s="9" t="inlineStr">
        <is>
          <t>Negative</t>
        </is>
      </c>
      <c r="J3" s="9" t="inlineStr">
        <is>
          <t>Not Run</t>
        </is>
      </c>
      <c r="K3" s="9" t="inlineStr"/>
      <c r="L3" s="9" t="inlineStr"/>
    </row>
    <row r="4">
      <c r="A4" s="7" t="inlineStr">
        <is>
          <t>AUTH-003</t>
        </is>
      </c>
      <c r="B4" s="8" t="inlineStr">
        <is>
          <t>Authentication</t>
        </is>
      </c>
      <c r="C4" s="9" t="inlineStr">
        <is>
          <t>Login (non-existent email)</t>
        </is>
      </c>
      <c r="D4" s="9" t="inlineStr">
        <is>
          <t>Unknown email rejected</t>
        </is>
      </c>
      <c r="E4" s="9" t="inlineStr">
        <is>
          <t>None</t>
        </is>
      </c>
      <c r="F4" s="9" t="inlineStr">
        <is>
          <t>1. Go to /login
2. Enter unregistered email
3. Click 'Log In'</t>
        </is>
      </c>
      <c r="G4" s="9" t="inlineStr">
        <is>
          <t>Generic auth error (must NOT reveal whether email exists).</t>
        </is>
      </c>
      <c r="H4" s="11" t="inlineStr">
        <is>
          <t>High</t>
        </is>
      </c>
      <c r="I4" s="9" t="inlineStr">
        <is>
          <t>Security</t>
        </is>
      </c>
      <c r="J4" s="9" t="inlineStr">
        <is>
          <t>Not Run</t>
        </is>
      </c>
      <c r="K4" s="9" t="inlineStr"/>
      <c r="L4" s="9" t="inlineStr"/>
    </row>
    <row r="5">
      <c r="A5" s="7" t="inlineStr">
        <is>
          <t>AUTH-004</t>
        </is>
      </c>
      <c r="B5" s="8" t="inlineStr">
        <is>
          <t>Authentication</t>
        </is>
      </c>
      <c r="C5" s="9" t="inlineStr">
        <is>
          <t>Rate limiting</t>
        </is>
      </c>
      <c r="D5" s="9" t="inlineStr">
        <is>
          <t>Login brute force is rate limited</t>
        </is>
      </c>
      <c r="E5" s="9" t="inlineStr">
        <is>
          <t>None</t>
        </is>
      </c>
      <c r="F5" s="9" t="inlineStr">
        <is>
          <t>1. Attempt login with wrong password 11+ times in 1 minute</t>
        </is>
      </c>
      <c r="G5" s="9" t="inlineStr">
        <is>
          <t>After ~10 attempts, receive 429 Too Many Requests error.</t>
        </is>
      </c>
      <c r="H5" s="11" t="inlineStr">
        <is>
          <t>High</t>
        </is>
      </c>
      <c r="I5" s="9" t="inlineStr">
        <is>
          <t>Security</t>
        </is>
      </c>
      <c r="J5" s="9" t="inlineStr">
        <is>
          <t>Not Run</t>
        </is>
      </c>
      <c r="K5" s="9" t="inlineStr"/>
      <c r="L5" s="9" t="inlineStr"/>
    </row>
    <row r="6">
      <c r="A6" s="7" t="inlineStr">
        <is>
          <t>AUTH-005</t>
        </is>
      </c>
      <c r="B6" s="8" t="inlineStr">
        <is>
          <t>Authentication</t>
        </is>
      </c>
      <c r="C6" s="9" t="inlineStr">
        <is>
          <t>Forgot password</t>
        </is>
      </c>
      <c r="D6" s="9" t="inlineStr">
        <is>
          <t>User can request password reset email</t>
        </is>
      </c>
      <c r="E6" s="9" t="inlineStr">
        <is>
          <t>User account exists</t>
        </is>
      </c>
      <c r="F6" s="9" t="inlineStr">
        <is>
          <t>1. Click 'Forgot Password?' on login
2. Enter email
3. Submit</t>
        </is>
      </c>
      <c r="G6" s="9" t="inlineStr">
        <is>
          <t>Success message shown. Reset email delivered within 1 minute.</t>
        </is>
      </c>
      <c r="H6" s="11" t="inlineStr">
        <is>
          <t>High</t>
        </is>
      </c>
      <c r="I6" s="9" t="inlineStr">
        <is>
          <t>Functional</t>
        </is>
      </c>
      <c r="J6" s="9" t="inlineStr">
        <is>
          <t>Not Run</t>
        </is>
      </c>
      <c r="K6" s="9" t="inlineStr"/>
      <c r="L6" s="9" t="inlineStr"/>
    </row>
    <row r="7">
      <c r="A7" s="7" t="inlineStr">
        <is>
          <t>AUTH-006</t>
        </is>
      </c>
      <c r="B7" s="8" t="inlineStr">
        <is>
          <t>Authentication</t>
        </is>
      </c>
      <c r="C7" s="9" t="inlineStr">
        <is>
          <t>Reset password</t>
        </is>
      </c>
      <c r="D7" s="9" t="inlineStr">
        <is>
          <t>User can reset password with valid token</t>
        </is>
      </c>
      <c r="E7" s="9" t="inlineStr">
        <is>
          <t>Password reset email received</t>
        </is>
      </c>
      <c r="F7" s="9" t="inlineStr">
        <is>
          <t>1. Click reset link in email
2. Enter new password (min 8 chars)
3. Submit</t>
        </is>
      </c>
      <c r="G7" s="9" t="inlineStr">
        <is>
          <t>Password updated. User can log in with new password.</t>
        </is>
      </c>
      <c r="H7" s="11" t="inlineStr">
        <is>
          <t>High</t>
        </is>
      </c>
      <c r="I7" s="9" t="inlineStr">
        <is>
          <t>Functional</t>
        </is>
      </c>
      <c r="J7" s="9" t="inlineStr">
        <is>
          <t>Not Run</t>
        </is>
      </c>
      <c r="K7" s="9" t="inlineStr"/>
      <c r="L7" s="9" t="inlineStr"/>
    </row>
    <row r="8">
      <c r="A8" s="7" t="inlineStr">
        <is>
          <t>AUTH-007</t>
        </is>
      </c>
      <c r="B8" s="8" t="inlineStr">
        <is>
          <t>Authentication</t>
        </is>
      </c>
      <c r="C8" s="9" t="inlineStr">
        <is>
          <t>Reset password (expired)</t>
        </is>
      </c>
      <c r="D8" s="9" t="inlineStr">
        <is>
          <t>Expired reset token rejected</t>
        </is>
      </c>
      <c r="E8" s="9" t="inlineStr">
        <is>
          <t>Reset email received more than 24h ago</t>
        </is>
      </c>
      <c r="F8" s="9" t="inlineStr">
        <is>
          <t>1. Click reset link
2. Submit new password</t>
        </is>
      </c>
      <c r="G8" s="9" t="inlineStr">
        <is>
          <t>Error: token expired or invalid. Password unchanged.</t>
        </is>
      </c>
      <c r="H8" s="12" t="inlineStr">
        <is>
          <t>Medium</t>
        </is>
      </c>
      <c r="I8" s="9" t="inlineStr">
        <is>
          <t>Negative</t>
        </is>
      </c>
      <c r="J8" s="9" t="inlineStr">
        <is>
          <t>Not Run</t>
        </is>
      </c>
      <c r="K8" s="9" t="inlineStr"/>
      <c r="L8" s="9" t="inlineStr"/>
    </row>
    <row r="9">
      <c r="A9" s="7" t="inlineStr">
        <is>
          <t>AUTH-008</t>
        </is>
      </c>
      <c r="B9" s="8" t="inlineStr">
        <is>
          <t>Authentication</t>
        </is>
      </c>
      <c r="C9" s="9" t="inlineStr">
        <is>
          <t>Logout</t>
        </is>
      </c>
      <c r="D9" s="9" t="inlineStr">
        <is>
          <t>User can log out</t>
        </is>
      </c>
      <c r="E9" s="9" t="inlineStr">
        <is>
          <t>Logged in</t>
        </is>
      </c>
      <c r="F9" s="9" t="inlineStr">
        <is>
          <t>1. Click profile menu
2. Click 'Log Out'</t>
        </is>
      </c>
      <c r="G9" s="9" t="inlineStr">
        <is>
          <t>Redirected to /login. Session cookie cleared. Cannot access /dashboard.</t>
        </is>
      </c>
      <c r="H9" s="10" t="inlineStr">
        <is>
          <t>Critical</t>
        </is>
      </c>
      <c r="I9" s="9" t="inlineStr">
        <is>
          <t>Smoke</t>
        </is>
      </c>
      <c r="J9" s="9" t="inlineStr">
        <is>
          <t>Not Run</t>
        </is>
      </c>
      <c r="K9" s="9" t="inlineStr"/>
      <c r="L9" s="9" t="inlineStr"/>
    </row>
    <row r="10">
      <c r="A10" s="7" t="inlineStr">
        <is>
          <t>AUTH-009</t>
        </is>
      </c>
      <c r="B10" s="8" t="inlineStr">
        <is>
          <t>Authentication</t>
        </is>
      </c>
      <c r="C10" s="9" t="inlineStr">
        <is>
          <t>Profile update</t>
        </is>
      </c>
      <c r="D10" s="9" t="inlineStr">
        <is>
          <t>User updates own profile</t>
        </is>
      </c>
      <c r="E10" s="9" t="inlineStr">
        <is>
          <t>Logged in</t>
        </is>
      </c>
      <c r="F10" s="9" t="inlineStr">
        <is>
          <t>1. Go to /profile
2. Update first name / phone / language
3. Save</t>
        </is>
      </c>
      <c r="G10" s="9" t="inlineStr">
        <is>
          <t>Success toast. Changes persisted after reload.</t>
        </is>
      </c>
      <c r="H10" s="12" t="inlineStr">
        <is>
          <t>Medium</t>
        </is>
      </c>
      <c r="I10" s="9" t="inlineStr">
        <is>
          <t>Functional</t>
        </is>
      </c>
      <c r="J10" s="9" t="inlineStr">
        <is>
          <t>Not Run</t>
        </is>
      </c>
      <c r="K10" s="9" t="inlineStr"/>
      <c r="L10" s="9" t="inlineStr"/>
    </row>
    <row r="11">
      <c r="A11" s="7" t="inlineStr">
        <is>
          <t>AUTH-010</t>
        </is>
      </c>
      <c r="B11" s="8" t="inlineStr">
        <is>
          <t>Authentication</t>
        </is>
      </c>
      <c r="C11" s="9" t="inlineStr">
        <is>
          <t>Change password</t>
        </is>
      </c>
      <c r="D11" s="9" t="inlineStr">
        <is>
          <t>User changes own password</t>
        </is>
      </c>
      <c r="E11" s="9" t="inlineStr">
        <is>
          <t>Logged in</t>
        </is>
      </c>
      <c r="F11" s="9" t="inlineStr">
        <is>
          <t>1. Go to /profile
2. Enter current + new password
3. Submit</t>
        </is>
      </c>
      <c r="G11" s="9" t="inlineStr">
        <is>
          <t>Success toast. Log out and log in with new password succeeds.</t>
        </is>
      </c>
      <c r="H11" s="11" t="inlineStr">
        <is>
          <t>High</t>
        </is>
      </c>
      <c r="I11" s="9" t="inlineStr">
        <is>
          <t>Functional</t>
        </is>
      </c>
      <c r="J11" s="9" t="inlineStr">
        <is>
          <t>Not Run</t>
        </is>
      </c>
      <c r="K11" s="9" t="inlineStr"/>
      <c r="L11" s="9" t="inlineStr"/>
    </row>
    <row r="12">
      <c r="A12" s="7" t="inlineStr">
        <is>
          <t>ONB-001</t>
        </is>
      </c>
      <c r="B12" s="13" t="inlineStr">
        <is>
          <t>Onboarding</t>
        </is>
      </c>
      <c r="C12" s="9" t="inlineStr">
        <is>
          <t>Wizard triggers on first login</t>
        </is>
      </c>
      <c r="D12" s="9" t="inlineStr">
        <is>
          <t>New school admin sees 5-step onboarding wizard</t>
        </is>
      </c>
      <c r="E12" s="9" t="inlineStr">
        <is>
          <t>New tenant created, first admin login</t>
        </is>
      </c>
      <c r="F12" s="9" t="inlineStr">
        <is>
          <t>1. Log in for the first time</t>
        </is>
      </c>
      <c r="G12" s="9" t="inlineStr">
        <is>
          <t>Redirected to /onboarding step 1.</t>
        </is>
      </c>
      <c r="H12" s="10" t="inlineStr">
        <is>
          <t>Critical</t>
        </is>
      </c>
      <c r="I12" s="9" t="inlineStr">
        <is>
          <t>Smoke</t>
        </is>
      </c>
      <c r="J12" s="9" t="inlineStr">
        <is>
          <t>Not Run</t>
        </is>
      </c>
      <c r="K12" s="9" t="inlineStr"/>
      <c r="L12" s="9" t="inlineStr"/>
    </row>
    <row r="13">
      <c r="A13" s="7" t="inlineStr">
        <is>
          <t>ONB-002</t>
        </is>
      </c>
      <c r="B13" s="13" t="inlineStr">
        <is>
          <t>Onboarding</t>
        </is>
      </c>
      <c r="C13" s="9" t="inlineStr">
        <is>
          <t>Step 1: School info</t>
        </is>
      </c>
      <c r="D13" s="9" t="inlineStr">
        <is>
          <t>Admin fills in school details</t>
        </is>
      </c>
      <c r="E13" s="9" t="inlineStr">
        <is>
          <t>On onboarding step 1</t>
        </is>
      </c>
      <c r="F13" s="9" t="inlineStr">
        <is>
          <t>1. Enter school name, address, timezone
2. Upload logo
3. Pick colors
4. Next</t>
        </is>
      </c>
      <c r="G13" s="9" t="inlineStr">
        <is>
          <t>Progress saved. Advances to step 2.</t>
        </is>
      </c>
      <c r="H13" s="11" t="inlineStr">
        <is>
          <t>High</t>
        </is>
      </c>
      <c r="I13" s="9" t="inlineStr">
        <is>
          <t>Functional</t>
        </is>
      </c>
      <c r="J13" s="9" t="inlineStr">
        <is>
          <t>Not Run</t>
        </is>
      </c>
      <c r="K13" s="9" t="inlineStr"/>
      <c r="L13" s="9" t="inlineStr"/>
    </row>
    <row r="14">
      <c r="A14" s="7" t="inlineStr">
        <is>
          <t>ONB-003</t>
        </is>
      </c>
      <c r="B14" s="13" t="inlineStr">
        <is>
          <t>Onboarding</t>
        </is>
      </c>
      <c r="C14" s="9" t="inlineStr">
        <is>
          <t>Step 2: Education type + features</t>
        </is>
      </c>
      <c r="D14" s="9" t="inlineStr">
        <is>
          <t>Admin picks education type + toggles features</t>
        </is>
      </c>
      <c r="E14" s="9" t="inlineStr">
        <is>
          <t>On onboarding step 2</t>
        </is>
      </c>
      <c r="F14" s="9" t="inlineStr">
        <is>
          <t>1. Select education type (Daycare/Primary/High School/K12)
2. Toggle feature switches
3. Next</t>
        </is>
      </c>
      <c r="G14" s="9" t="inlineStr">
        <is>
          <t>Features saved. Terminology adjusts (student vs child). Advances to step 3.</t>
        </is>
      </c>
      <c r="H14" s="11" t="inlineStr">
        <is>
          <t>High</t>
        </is>
      </c>
      <c r="I14" s="9" t="inlineStr">
        <is>
          <t>Functional</t>
        </is>
      </c>
      <c r="J14" s="9" t="inlineStr">
        <is>
          <t>Not Run</t>
        </is>
      </c>
      <c r="K14" s="9" t="inlineStr"/>
      <c r="L14" s="9" t="inlineStr"/>
    </row>
    <row r="15">
      <c r="A15" s="7" t="inlineStr">
        <is>
          <t>ONB-004</t>
        </is>
      </c>
      <c r="B15" s="13" t="inlineStr">
        <is>
          <t>Onboarding</t>
        </is>
      </c>
      <c r="C15" s="9" t="inlineStr">
        <is>
          <t>Step 3: Create classes</t>
        </is>
      </c>
      <c r="D15" s="9" t="inlineStr">
        <is>
          <t>Admin creates at least 1 class</t>
        </is>
      </c>
      <c r="E15" s="9" t="inlineStr">
        <is>
          <t>On step 3</t>
        </is>
      </c>
      <c r="F15" s="9" t="inlineStr">
        <is>
          <t>1. Enter class name and grade level
2. Add
3. Repeat for multiple
4. Next</t>
        </is>
      </c>
      <c r="G15" s="9" t="inlineStr">
        <is>
          <t>Classes saved. Cannot advance with 0 classes.</t>
        </is>
      </c>
      <c r="H15" s="11" t="inlineStr">
        <is>
          <t>High</t>
        </is>
      </c>
      <c r="I15" s="9" t="inlineStr">
        <is>
          <t>Functional</t>
        </is>
      </c>
      <c r="J15" s="9" t="inlineStr">
        <is>
          <t>Not Run</t>
        </is>
      </c>
      <c r="K15" s="9" t="inlineStr"/>
      <c r="L15" s="9" t="inlineStr"/>
    </row>
    <row r="16">
      <c r="A16" s="7" t="inlineStr">
        <is>
          <t>ONB-005</t>
        </is>
      </c>
      <c r="B16" s="13" t="inlineStr">
        <is>
          <t>Onboarding</t>
        </is>
      </c>
      <c r="C16" s="9" t="inlineStr">
        <is>
          <t>Completion</t>
        </is>
      </c>
      <c r="D16" s="9" t="inlineStr">
        <is>
          <t>Wizard completes and marks tenant onboarded</t>
        </is>
      </c>
      <c r="E16" s="9" t="inlineStr">
        <is>
          <t>On step 5</t>
        </is>
      </c>
      <c r="F16" s="9" t="inlineStr">
        <is>
          <t>1. Review summary
2. Click Finish</t>
        </is>
      </c>
      <c r="G16" s="9" t="inlineStr">
        <is>
          <t>Redirected to /dashboard. Wizard does not re-appear on next login.</t>
        </is>
      </c>
      <c r="H16" s="11" t="inlineStr">
        <is>
          <t>High</t>
        </is>
      </c>
      <c r="I16" s="9" t="inlineStr">
        <is>
          <t>Functional</t>
        </is>
      </c>
      <c r="J16" s="9" t="inlineStr">
        <is>
          <t>Not Run</t>
        </is>
      </c>
      <c r="K16" s="9" t="inlineStr"/>
      <c r="L16" s="9" t="inlineStr"/>
    </row>
    <row r="17">
      <c r="A17" s="7" t="inlineStr">
        <is>
          <t>STU-001</t>
        </is>
      </c>
      <c r="B17" s="14" t="inlineStr">
        <is>
          <t>Students</t>
        </is>
      </c>
      <c r="C17" s="9" t="inlineStr">
        <is>
          <t>Create student</t>
        </is>
      </c>
      <c r="D17" s="9" t="inlineStr">
        <is>
          <t>Admin adds a new student</t>
        </is>
      </c>
      <c r="E17" s="9" t="inlineStr">
        <is>
          <t>Logged in as admin, at least 1 class exists</t>
        </is>
      </c>
      <c r="F17" s="9" t="inlineStr">
        <is>
          <t>1. Go to /students
2. Click 'Add Student'
3. Fill form (name, DOB, class, etc)
4. Save</t>
        </is>
      </c>
      <c r="G17" s="9" t="inlineStr">
        <is>
          <t>Student appears in list. Success toast.</t>
        </is>
      </c>
      <c r="H17" s="10" t="inlineStr">
        <is>
          <t>Critical</t>
        </is>
      </c>
      <c r="I17" s="9" t="inlineStr">
        <is>
          <t>Smoke</t>
        </is>
      </c>
      <c r="J17" s="9" t="inlineStr">
        <is>
          <t>Not Run</t>
        </is>
      </c>
      <c r="K17" s="9" t="inlineStr"/>
      <c r="L17" s="9" t="inlineStr"/>
    </row>
    <row r="18">
      <c r="A18" s="7" t="inlineStr">
        <is>
          <t>STU-002</t>
        </is>
      </c>
      <c r="B18" s="14" t="inlineStr">
        <is>
          <t>Students</t>
        </is>
      </c>
      <c r="C18" s="9" t="inlineStr">
        <is>
          <t>Edit student</t>
        </is>
      </c>
      <c r="D18" s="9" t="inlineStr">
        <is>
          <t>Admin edits student details</t>
        </is>
      </c>
      <c r="E18" s="9" t="inlineStr">
        <is>
          <t>Student exists</t>
        </is>
      </c>
      <c r="F18" s="9" t="inlineStr">
        <is>
          <t>1. Go to /students/{id}/edit
2. Change name/class
3. Save</t>
        </is>
      </c>
      <c r="G18" s="9" t="inlineStr">
        <is>
          <t>Changes persisted. Success toast.</t>
        </is>
      </c>
      <c r="H18" s="11" t="inlineStr">
        <is>
          <t>High</t>
        </is>
      </c>
      <c r="I18" s="9" t="inlineStr">
        <is>
          <t>Functional</t>
        </is>
      </c>
      <c r="J18" s="9" t="inlineStr">
        <is>
          <t>Not Run</t>
        </is>
      </c>
      <c r="K18" s="9" t="inlineStr"/>
      <c r="L18" s="9" t="inlineStr"/>
    </row>
    <row r="19">
      <c r="A19" s="7" t="inlineStr">
        <is>
          <t>STU-003</t>
        </is>
      </c>
      <c r="B19" s="14" t="inlineStr">
        <is>
          <t>Students</t>
        </is>
      </c>
      <c r="C19" s="9" t="inlineStr">
        <is>
          <t>Search student by name</t>
        </is>
      </c>
      <c r="D19" s="9" t="inlineStr">
        <is>
          <t>Admin can search students</t>
        </is>
      </c>
      <c r="E19" s="9" t="inlineStr">
        <is>
          <t>Multiple students exist</t>
        </is>
      </c>
      <c r="F19" s="9" t="inlineStr">
        <is>
          <t>1. Go to /students
2. Type partial name in search
3. Click Filter</t>
        </is>
      </c>
      <c r="G19" s="9" t="inlineStr">
        <is>
          <t>List filters to matching students. No UUID errors.</t>
        </is>
      </c>
      <c r="H19" s="11" t="inlineStr">
        <is>
          <t>High</t>
        </is>
      </c>
      <c r="I19" s="9" t="inlineStr">
        <is>
          <t>Functional</t>
        </is>
      </c>
      <c r="J19" s="9" t="inlineStr">
        <is>
          <t>Not Run</t>
        </is>
      </c>
      <c r="K19" s="9" t="inlineStr"/>
      <c r="L19" s="9" t="inlineStr"/>
    </row>
    <row r="20">
      <c r="A20" s="7" t="inlineStr">
        <is>
          <t>STU-004</t>
        </is>
      </c>
      <c r="B20" s="14" t="inlineStr">
        <is>
          <t>Students</t>
        </is>
      </c>
      <c r="C20" s="9" t="inlineStr">
        <is>
          <t>Filter by class</t>
        </is>
      </c>
      <c r="D20" s="9" t="inlineStr">
        <is>
          <t>Filter students by class</t>
        </is>
      </c>
      <c r="E20" s="9" t="inlineStr">
        <is>
          <t>Multiple classes with students</t>
        </is>
      </c>
      <c r="F20" s="9" t="inlineStr">
        <is>
          <t>1. /students
2. Select a class from dropdown
3. Filter</t>
        </is>
      </c>
      <c r="G20" s="9" t="inlineStr">
        <is>
          <t>Only students in that class shown.</t>
        </is>
      </c>
      <c r="H20" s="12" t="inlineStr">
        <is>
          <t>Medium</t>
        </is>
      </c>
      <c r="I20" s="9" t="inlineStr">
        <is>
          <t>Functional</t>
        </is>
      </c>
      <c r="J20" s="9" t="inlineStr">
        <is>
          <t>Not Run</t>
        </is>
      </c>
      <c r="K20" s="9" t="inlineStr"/>
      <c r="L20" s="9" t="inlineStr"/>
    </row>
    <row r="21">
      <c r="A21" s="7" t="inlineStr">
        <is>
          <t>STU-005</t>
        </is>
      </c>
      <c r="B21" s="14" t="inlineStr">
        <is>
          <t>Students</t>
        </is>
      </c>
      <c r="C21" s="9" t="inlineStr">
        <is>
          <t>Filter by grade level</t>
        </is>
      </c>
      <c r="D21" s="9" t="inlineStr">
        <is>
          <t>Filter students by grade</t>
        </is>
      </c>
      <c r="E21" s="9" t="inlineStr">
        <is>
          <t>Grades assigned</t>
        </is>
      </c>
      <c r="F21" s="9" t="inlineStr">
        <is>
          <t>1. Select grade level
2. Filter</t>
        </is>
      </c>
      <c r="G21" s="9" t="inlineStr">
        <is>
          <t>Only matching students shown. Empty grade selection does not error.</t>
        </is>
      </c>
      <c r="H21" s="12" t="inlineStr">
        <is>
          <t>Medium</t>
        </is>
      </c>
      <c r="I21" s="9" t="inlineStr">
        <is>
          <t>Functional</t>
        </is>
      </c>
      <c r="J21" s="9" t="inlineStr">
        <is>
          <t>Not Run</t>
        </is>
      </c>
      <c r="K21" s="9" t="inlineStr"/>
      <c r="L21" s="9" t="inlineStr"/>
    </row>
    <row r="22">
      <c r="A22" s="7" t="inlineStr">
        <is>
          <t>STU-006</t>
        </is>
      </c>
      <c r="B22" s="14" t="inlineStr">
        <is>
          <t>Students</t>
        </is>
      </c>
      <c r="C22" s="9" t="inlineStr">
        <is>
          <t>Student detail view</t>
        </is>
      </c>
      <c r="D22" s="9" t="inlineStr">
        <is>
          <t>View full student profile</t>
        </is>
      </c>
      <c r="E22" s="9" t="inlineStr">
        <is>
          <t>Student exists</t>
        </is>
      </c>
      <c r="F22" s="9" t="inlineStr">
        <is>
          <t>1. Click a student in list</t>
        </is>
      </c>
      <c r="G22" s="9" t="inlineStr">
        <is>
          <t>Shows details, parents, attendance summary, quick actions (Create Report, Invite Parent).</t>
        </is>
      </c>
      <c r="H22" s="11" t="inlineStr">
        <is>
          <t>High</t>
        </is>
      </c>
      <c r="I22" s="9" t="inlineStr">
        <is>
          <t>Functional</t>
        </is>
      </c>
      <c r="J22" s="9" t="inlineStr">
        <is>
          <t>Not Run</t>
        </is>
      </c>
      <c r="K22" s="9" t="inlineStr"/>
      <c r="L22" s="9" t="inlineStr"/>
    </row>
    <row r="23">
      <c r="A23" s="7" t="inlineStr">
        <is>
          <t>STU-007</t>
        </is>
      </c>
      <c r="B23" s="14" t="inlineStr">
        <is>
          <t>Students</t>
        </is>
      </c>
      <c r="C23" s="9" t="inlineStr">
        <is>
          <t>Export CSV</t>
        </is>
      </c>
      <c r="D23" s="9" t="inlineStr">
        <is>
          <t>Export student list to CSV</t>
        </is>
      </c>
      <c r="E23" s="9" t="inlineStr">
        <is>
          <t>Students exist</t>
        </is>
      </c>
      <c r="F23" s="9" t="inlineStr">
        <is>
          <t>1. /students
2. Click CSV button</t>
        </is>
      </c>
      <c r="G23" s="9" t="inlineStr">
        <is>
          <t>CSV downloads with columns: First, Last, Class, Grade, DOB, Gender, Status, Enrolled.</t>
        </is>
      </c>
      <c r="H23" s="12" t="inlineStr">
        <is>
          <t>Medium</t>
        </is>
      </c>
      <c r="I23" s="9" t="inlineStr">
        <is>
          <t>Functional</t>
        </is>
      </c>
      <c r="J23" s="9" t="inlineStr">
        <is>
          <t>Not Run</t>
        </is>
      </c>
      <c r="K23" s="9" t="inlineStr"/>
      <c r="L23" s="9" t="inlineStr"/>
    </row>
    <row r="24">
      <c r="A24" s="7" t="inlineStr">
        <is>
          <t>STU-008</t>
        </is>
      </c>
      <c r="B24" s="14" t="inlineStr">
        <is>
          <t>Students</t>
        </is>
      </c>
      <c r="C24" s="9" t="inlineStr">
        <is>
          <t>Export PDF</t>
        </is>
      </c>
      <c r="D24" s="9" t="inlineStr">
        <is>
          <t>Export student list to PDF</t>
        </is>
      </c>
      <c r="E24" s="9" t="inlineStr">
        <is>
          <t>Students exist</t>
        </is>
      </c>
      <c r="F24" s="9" t="inlineStr">
        <is>
          <t>1. /students
2. Click PDF button</t>
        </is>
      </c>
      <c r="G24" s="9" t="inlineStr">
        <is>
          <t>PDF downloads with formatted student table and date.</t>
        </is>
      </c>
      <c r="H24" s="12" t="inlineStr">
        <is>
          <t>Medium</t>
        </is>
      </c>
      <c r="I24" s="9" t="inlineStr">
        <is>
          <t>Functional</t>
        </is>
      </c>
      <c r="J24" s="9" t="inlineStr">
        <is>
          <t>Not Run</t>
        </is>
      </c>
      <c r="K24" s="9" t="inlineStr"/>
      <c r="L24" s="9" t="inlineStr"/>
    </row>
    <row r="25">
      <c r="A25" s="7" t="inlineStr">
        <is>
          <t>STU-009</t>
        </is>
      </c>
      <c r="B25" s="14" t="inlineStr">
        <is>
          <t>Students</t>
        </is>
      </c>
      <c r="C25" s="9" t="inlineStr">
        <is>
          <t>Print view</t>
        </is>
      </c>
      <c r="D25" s="9" t="inlineStr">
        <is>
          <t>Print-friendly student list</t>
        </is>
      </c>
      <c r="E25" s="9" t="inlineStr">
        <is>
          <t>Students exist</t>
        </is>
      </c>
      <c r="F25" s="9" t="inlineStr">
        <is>
          <t>1. /students
2. Click Print</t>
        </is>
      </c>
      <c r="G25" s="9" t="inlineStr">
        <is>
          <t>Browser print dialog. Nav/buttons hidden. Table fits clearly.</t>
        </is>
      </c>
      <c r="H25" s="15" t="inlineStr">
        <is>
          <t>Low</t>
        </is>
      </c>
      <c r="I25" s="9" t="inlineStr">
        <is>
          <t>UI</t>
        </is>
      </c>
      <c r="J25" s="9" t="inlineStr">
        <is>
          <t>Not Run</t>
        </is>
      </c>
      <c r="K25" s="9" t="inlineStr"/>
      <c r="L25" s="9" t="inlineStr"/>
    </row>
    <row r="26">
      <c r="A26" s="7" t="inlineStr">
        <is>
          <t>STU-010</t>
        </is>
      </c>
      <c r="B26" s="14" t="inlineStr">
        <is>
          <t>Students</t>
        </is>
      </c>
      <c r="C26" s="9" t="inlineStr">
        <is>
          <t>Delete student</t>
        </is>
      </c>
      <c r="D26" s="9" t="inlineStr">
        <is>
          <t>Soft-delete a student</t>
        </is>
      </c>
      <c r="E26" s="9" t="inlineStr">
        <is>
          <t>Student exists</t>
        </is>
      </c>
      <c r="F26" s="9" t="inlineStr">
        <is>
          <t>1. Open student
2. Delete
3. Confirm</t>
        </is>
      </c>
      <c r="G26" s="9" t="inlineStr">
        <is>
          <t>Student removed from list. Attendance history preserved.</t>
        </is>
      </c>
      <c r="H26" s="12" t="inlineStr">
        <is>
          <t>Medium</t>
        </is>
      </c>
      <c r="I26" s="9" t="inlineStr">
        <is>
          <t>Functional</t>
        </is>
      </c>
      <c r="J26" s="9" t="inlineStr">
        <is>
          <t>Not Run</t>
        </is>
      </c>
      <c r="K26" s="9" t="inlineStr"/>
      <c r="L26" s="9" t="inlineStr"/>
    </row>
    <row r="27">
      <c r="A27" s="7" t="inlineStr">
        <is>
          <t>CLS-001</t>
        </is>
      </c>
      <c r="B27" s="16" t="inlineStr">
        <is>
          <t>Classes</t>
        </is>
      </c>
      <c r="C27" s="9" t="inlineStr">
        <is>
          <t>Create class</t>
        </is>
      </c>
      <c r="D27" s="9" t="inlineStr">
        <is>
          <t>Admin creates a class</t>
        </is>
      </c>
      <c r="E27" s="9" t="inlineStr">
        <is>
          <t>Logged in as admin</t>
        </is>
      </c>
      <c r="F27" s="9" t="inlineStr">
        <is>
          <t>1. /classes
2. Add
3. Name + grade level + capacity
4. Save</t>
        </is>
      </c>
      <c r="G27" s="9" t="inlineStr">
        <is>
          <t>Class appears in list.</t>
        </is>
      </c>
      <c r="H27" s="10" t="inlineStr">
        <is>
          <t>Critical</t>
        </is>
      </c>
      <c r="I27" s="9" t="inlineStr">
        <is>
          <t>Smoke</t>
        </is>
      </c>
      <c r="J27" s="9" t="inlineStr">
        <is>
          <t>Not Run</t>
        </is>
      </c>
      <c r="K27" s="9" t="inlineStr"/>
      <c r="L27" s="9" t="inlineStr"/>
    </row>
    <row r="28">
      <c r="A28" s="7" t="inlineStr">
        <is>
          <t>CLS-002</t>
        </is>
      </c>
      <c r="B28" s="16" t="inlineStr">
        <is>
          <t>Classes</t>
        </is>
      </c>
      <c r="C28" s="9" t="inlineStr">
        <is>
          <t>Edit class</t>
        </is>
      </c>
      <c r="D28" s="9" t="inlineStr">
        <is>
          <t>Admin edits class</t>
        </is>
      </c>
      <c r="E28" s="9" t="inlineStr">
        <is>
          <t>Class exists</t>
        </is>
      </c>
      <c r="F28" s="9" t="inlineStr">
        <is>
          <t>1. Open class
2. Edit
3. Change name/capacity
4. Save</t>
        </is>
      </c>
      <c r="G28" s="9" t="inlineStr">
        <is>
          <t>Changes saved.</t>
        </is>
      </c>
      <c r="H28" s="11" t="inlineStr">
        <is>
          <t>High</t>
        </is>
      </c>
      <c r="I28" s="9" t="inlineStr">
        <is>
          <t>Functional</t>
        </is>
      </c>
      <c r="J28" s="9" t="inlineStr">
        <is>
          <t>Not Run</t>
        </is>
      </c>
      <c r="K28" s="9" t="inlineStr"/>
      <c r="L28" s="9" t="inlineStr"/>
    </row>
    <row r="29">
      <c r="A29" s="7" t="inlineStr">
        <is>
          <t>CLS-003</t>
        </is>
      </c>
      <c r="B29" s="16" t="inlineStr">
        <is>
          <t>Classes</t>
        </is>
      </c>
      <c r="C29" s="9" t="inlineStr">
        <is>
          <t>Assign teacher to class</t>
        </is>
      </c>
      <c r="D29" s="9" t="inlineStr">
        <is>
          <t>Assign primary + secondary teachers</t>
        </is>
      </c>
      <c r="E29" s="9" t="inlineStr">
        <is>
          <t>Class and teacher(s) exist</t>
        </is>
      </c>
      <c r="F29" s="9" t="inlineStr">
        <is>
          <t>1. Open class
2. Teachers section
3. Add teacher
4. Optional: Set Primary</t>
        </is>
      </c>
      <c r="G29" s="9" t="inlineStr">
        <is>
          <t>Teacher appears in class. Primary flag visible.</t>
        </is>
      </c>
      <c r="H29" s="11" t="inlineStr">
        <is>
          <t>High</t>
        </is>
      </c>
      <c r="I29" s="9" t="inlineStr">
        <is>
          <t>Functional</t>
        </is>
      </c>
      <c r="J29" s="9" t="inlineStr">
        <is>
          <t>Not Run</t>
        </is>
      </c>
      <c r="K29" s="9" t="inlineStr"/>
      <c r="L29" s="9" t="inlineStr"/>
    </row>
    <row r="30">
      <c r="A30" s="7" t="inlineStr">
        <is>
          <t>CLS-004</t>
        </is>
      </c>
      <c r="B30" s="16" t="inlineStr">
        <is>
          <t>Classes</t>
        </is>
      </c>
      <c r="C30" s="9" t="inlineStr">
        <is>
          <t>View students in class</t>
        </is>
      </c>
      <c r="D30" s="9" t="inlineStr">
        <is>
          <t>See all students in a class</t>
        </is>
      </c>
      <c r="E30" s="9" t="inlineStr">
        <is>
          <t>Class with students</t>
        </is>
      </c>
      <c r="F30" s="9" t="inlineStr">
        <is>
          <t>1. Open class
2. Students tab</t>
        </is>
      </c>
      <c r="G30" s="9" t="inlineStr">
        <is>
          <t>Lists all active students in the class.</t>
        </is>
      </c>
      <c r="H30" s="12" t="inlineStr">
        <is>
          <t>Medium</t>
        </is>
      </c>
      <c r="I30" s="9" t="inlineStr">
        <is>
          <t>Functional</t>
        </is>
      </c>
      <c r="J30" s="9" t="inlineStr">
        <is>
          <t>Not Run</t>
        </is>
      </c>
      <c r="K30" s="9" t="inlineStr"/>
      <c r="L30" s="9" t="inlineStr"/>
    </row>
    <row r="31">
      <c r="A31" s="7" t="inlineStr">
        <is>
          <t>CLS-005</t>
        </is>
      </c>
      <c r="B31" s="16" t="inlineStr">
        <is>
          <t>Classes</t>
        </is>
      </c>
      <c r="C31" s="9" t="inlineStr">
        <is>
          <t>Teacher class selector (navbar)</t>
        </is>
      </c>
      <c r="D31" s="9" t="inlineStr">
        <is>
          <t>Teacher with multiple classes can switch</t>
        </is>
      </c>
      <c r="E31" s="9" t="inlineStr">
        <is>
          <t>Teacher with 2+ assigned classes</t>
        </is>
      </c>
      <c r="F31" s="9" t="inlineStr">
        <is>
          <t>1. Log in as teacher
2. Use class dropdown in navbar</t>
        </is>
      </c>
      <c r="G31" s="9" t="inlineStr">
        <is>
          <t>Selected class persists across pages. Default is primary class.</t>
        </is>
      </c>
      <c r="H31" s="12" t="inlineStr">
        <is>
          <t>Medium</t>
        </is>
      </c>
      <c r="I31" s="9" t="inlineStr">
        <is>
          <t>Functional</t>
        </is>
      </c>
      <c r="J31" s="9" t="inlineStr">
        <is>
          <t>Not Run</t>
        </is>
      </c>
      <c r="K31" s="9" t="inlineStr"/>
      <c r="L31" s="9" t="inlineStr"/>
    </row>
    <row r="32">
      <c r="A32" s="7" t="inlineStr">
        <is>
          <t>CLS-006</t>
        </is>
      </c>
      <c r="B32" s="16" t="inlineStr">
        <is>
          <t>Classes</t>
        </is>
      </c>
      <c r="C32" s="9" t="inlineStr">
        <is>
          <t>Delete class (with students)</t>
        </is>
      </c>
      <c r="D32" s="9" t="inlineStr">
        <is>
          <t>Cannot accidentally wipe student data</t>
        </is>
      </c>
      <c r="E32" s="9" t="inlineStr">
        <is>
          <t>Class with students</t>
        </is>
      </c>
      <c r="F32" s="9" t="inlineStr">
        <is>
          <t>1. Try to delete class</t>
        </is>
      </c>
      <c r="G32" s="9" t="inlineStr">
        <is>
          <t>Warning shown. Students reassigned or deletion blocked.</t>
        </is>
      </c>
      <c r="H32" s="11" t="inlineStr">
        <is>
          <t>High</t>
        </is>
      </c>
      <c r="I32" s="9" t="inlineStr">
        <is>
          <t>Negative</t>
        </is>
      </c>
      <c r="J32" s="9" t="inlineStr">
        <is>
          <t>Not Run</t>
        </is>
      </c>
      <c r="K32" s="9" t="inlineStr"/>
      <c r="L32" s="9" t="inlineStr"/>
    </row>
    <row r="33">
      <c r="A33" s="7" t="inlineStr">
        <is>
          <t>TCH-001</t>
        </is>
      </c>
      <c r="B33" s="17" t="inlineStr">
        <is>
          <t>Teachers</t>
        </is>
      </c>
      <c r="C33" s="9" t="inlineStr">
        <is>
          <t>Invite teacher</t>
        </is>
      </c>
      <c r="D33" s="9" t="inlineStr">
        <is>
          <t>Admin invites a new teacher</t>
        </is>
      </c>
      <c r="E33" s="9" t="inlineStr">
        <is>
          <t>Logged in as admin</t>
        </is>
      </c>
      <c r="F33" s="9" t="inlineStr">
        <is>
          <t>1. /teachers
2. Invite
3. Enter name + email
4. Send</t>
        </is>
      </c>
      <c r="G33" s="9" t="inlineStr">
        <is>
          <t>Invitation email sent. Appears in pending invitations list.</t>
        </is>
      </c>
      <c r="H33" s="11" t="inlineStr">
        <is>
          <t>High</t>
        </is>
      </c>
      <c r="I33" s="9" t="inlineStr">
        <is>
          <t>Functional</t>
        </is>
      </c>
      <c r="J33" s="9" t="inlineStr">
        <is>
          <t>Not Run</t>
        </is>
      </c>
      <c r="K33" s="9" t="inlineStr"/>
      <c r="L33" s="9" t="inlineStr"/>
    </row>
    <row r="34">
      <c r="A34" s="7" t="inlineStr">
        <is>
          <t>TCH-002</t>
        </is>
      </c>
      <c r="B34" s="17" t="inlineStr">
        <is>
          <t>Teachers</t>
        </is>
      </c>
      <c r="C34" s="9" t="inlineStr">
        <is>
          <t>Teacher registers via invite</t>
        </is>
      </c>
      <c r="D34" s="9" t="inlineStr">
        <is>
          <t>New teacher completes registration</t>
        </is>
      </c>
      <c r="E34" s="9" t="inlineStr">
        <is>
          <t>Invitation sent</t>
        </is>
      </c>
      <c r="F34" s="9" t="inlineStr">
        <is>
          <t>1. Click invite link
2. Set password
3. Submit</t>
        </is>
      </c>
      <c r="G34" s="9" t="inlineStr">
        <is>
          <t>Account created. Auto-login. Redirected to dashboard.</t>
        </is>
      </c>
      <c r="H34" s="10" t="inlineStr">
        <is>
          <t>Critical</t>
        </is>
      </c>
      <c r="I34" s="9" t="inlineStr">
        <is>
          <t>Smoke</t>
        </is>
      </c>
      <c r="J34" s="9" t="inlineStr">
        <is>
          <t>Not Run</t>
        </is>
      </c>
      <c r="K34" s="9" t="inlineStr"/>
      <c r="L34" s="9" t="inlineStr"/>
    </row>
    <row r="35">
      <c r="A35" s="7" t="inlineStr">
        <is>
          <t>TCH-003</t>
        </is>
      </c>
      <c r="B35" s="17" t="inlineStr">
        <is>
          <t>Teachers</t>
        </is>
      </c>
      <c r="C35" s="9" t="inlineStr">
        <is>
          <t>Teacher list</t>
        </is>
      </c>
      <c r="D35" s="9" t="inlineStr">
        <is>
          <t>Admin sees all teachers</t>
        </is>
      </c>
      <c r="E35" s="9" t="inlineStr">
        <is>
          <t>1+ teachers exist</t>
        </is>
      </c>
      <c r="F35" s="9" t="inlineStr">
        <is>
          <t>1. /teachers</t>
        </is>
      </c>
      <c r="G35" s="9" t="inlineStr">
        <is>
          <t>List shows all teachers with status + assigned classes.</t>
        </is>
      </c>
      <c r="H35" s="12" t="inlineStr">
        <is>
          <t>Medium</t>
        </is>
      </c>
      <c r="I35" s="9" t="inlineStr">
        <is>
          <t>Functional</t>
        </is>
      </c>
      <c r="J35" s="9" t="inlineStr">
        <is>
          <t>Not Run</t>
        </is>
      </c>
      <c r="K35" s="9" t="inlineStr"/>
      <c r="L35" s="9" t="inlineStr"/>
    </row>
    <row r="36">
      <c r="A36" s="7" t="inlineStr">
        <is>
          <t>TCH-004</t>
        </is>
      </c>
      <c r="B36" s="17" t="inlineStr">
        <is>
          <t>Teachers</t>
        </is>
      </c>
      <c r="C36" s="9" t="inlineStr">
        <is>
          <t>Resend invitation</t>
        </is>
      </c>
      <c r="D36" s="9" t="inlineStr">
        <is>
          <t>Resend pending teacher invite</t>
        </is>
      </c>
      <c r="E36" s="9" t="inlineStr">
        <is>
          <t>Pending invitation exists</t>
        </is>
      </c>
      <c r="F36" s="9" t="inlineStr">
        <is>
          <t>1. /teachers
2. Resend on pending row</t>
        </is>
      </c>
      <c r="G36" s="9" t="inlineStr">
        <is>
          <t>New email sent. Code may refresh.</t>
        </is>
      </c>
      <c r="H36" s="15" t="inlineStr">
        <is>
          <t>Low</t>
        </is>
      </c>
      <c r="I36" s="9" t="inlineStr">
        <is>
          <t>Functional</t>
        </is>
      </c>
      <c r="J36" s="9" t="inlineStr">
        <is>
          <t>Not Run</t>
        </is>
      </c>
      <c r="K36" s="9" t="inlineStr"/>
      <c r="L36" s="9" t="inlineStr"/>
    </row>
    <row r="37">
      <c r="A37" s="7" t="inlineStr">
        <is>
          <t>TCH-005</t>
        </is>
      </c>
      <c r="B37" s="17" t="inlineStr">
        <is>
          <t>Teachers</t>
        </is>
      </c>
      <c r="C37" s="9" t="inlineStr">
        <is>
          <t>Deactivate teacher</t>
        </is>
      </c>
      <c r="D37" s="9" t="inlineStr">
        <is>
          <t>Admin disables teacher account</t>
        </is>
      </c>
      <c r="E37" s="9" t="inlineStr">
        <is>
          <t>Active teacher exists</t>
        </is>
      </c>
      <c r="F37" s="9" t="inlineStr">
        <is>
          <t>1. Open teacher
2. Deactivate</t>
        </is>
      </c>
      <c r="G37" s="9" t="inlineStr">
        <is>
          <t>Teacher cannot log in. Data preserved. Class assignments removed or flagged.</t>
        </is>
      </c>
      <c r="H37" s="12" t="inlineStr">
        <is>
          <t>Medium</t>
        </is>
      </c>
      <c r="I37" s="9" t="inlineStr">
        <is>
          <t>Permission</t>
        </is>
      </c>
      <c r="J37" s="9" t="inlineStr">
        <is>
          <t>Not Run</t>
        </is>
      </c>
      <c r="K37" s="9" t="inlineStr"/>
      <c r="L37" s="9" t="inlineStr"/>
    </row>
    <row r="38">
      <c r="A38" s="7" t="inlineStr">
        <is>
          <t>PAR-001</t>
        </is>
      </c>
      <c r="B38" s="18" t="inlineStr">
        <is>
          <t>Parents</t>
        </is>
      </c>
      <c r="C38" s="9" t="inlineStr">
        <is>
          <t>Invite parent</t>
        </is>
      </c>
      <c r="D38" s="9" t="inlineStr">
        <is>
          <t>Invite parent to a specific student</t>
        </is>
      </c>
      <c r="E38" s="9" t="inlineStr">
        <is>
          <t>Student exists</t>
        </is>
      </c>
      <c r="F38" s="9" t="inlineStr">
        <is>
          <t>1. Open student
2. Invite Parent
3. Enter name + email
4. Send</t>
        </is>
      </c>
      <c r="G38" s="9" t="inlineStr">
        <is>
          <t>Invitation email sent. Code generated.</t>
        </is>
      </c>
      <c r="H38" s="11" t="inlineStr">
        <is>
          <t>High</t>
        </is>
      </c>
      <c r="I38" s="9" t="inlineStr">
        <is>
          <t>Functional</t>
        </is>
      </c>
      <c r="J38" s="9" t="inlineStr">
        <is>
          <t>Not Run</t>
        </is>
      </c>
      <c r="K38" s="9" t="inlineStr"/>
      <c r="L38" s="9" t="inlineStr"/>
    </row>
    <row r="39">
      <c r="A39" s="7" t="inlineStr">
        <is>
          <t>PAR-002</t>
        </is>
      </c>
      <c r="B39" s="18" t="inlineStr">
        <is>
          <t>Parents</t>
        </is>
      </c>
      <c r="C39" s="9" t="inlineStr">
        <is>
          <t>Parent registers via invite</t>
        </is>
      </c>
      <c r="D39" s="9" t="inlineStr">
        <is>
          <t>Parent completes registration via email link</t>
        </is>
      </c>
      <c r="E39" s="9" t="inlineStr">
        <is>
          <t>Invitation sent</t>
        </is>
      </c>
      <c r="F39" s="9" t="inlineStr">
        <is>
          <t>1. Click link (includes ?code=X&amp;email=Y)
2. Name/email pre-filled, read-only
3. Set password
4. Submit</t>
        </is>
      </c>
      <c r="G39" s="9" t="inlineStr">
        <is>
          <t>Account created. Linked to student. Auto-login.</t>
        </is>
      </c>
      <c r="H39" s="10" t="inlineStr">
        <is>
          <t>Critical</t>
        </is>
      </c>
      <c r="I39" s="9" t="inlineStr">
        <is>
          <t>Smoke</t>
        </is>
      </c>
      <c r="J39" s="9" t="inlineStr">
        <is>
          <t>Not Run</t>
        </is>
      </c>
      <c r="K39" s="9" t="inlineStr"/>
      <c r="L39" s="9" t="inlineStr"/>
    </row>
    <row r="40">
      <c r="A40" s="7" t="inlineStr">
        <is>
          <t>PAR-003</t>
        </is>
      </c>
      <c r="B40" s="18" t="inlineStr">
        <is>
          <t>Parents</t>
        </is>
      </c>
      <c r="C40" s="9" t="inlineStr">
        <is>
          <t>Parent sees only own children</t>
        </is>
      </c>
      <c r="D40" s="9" t="inlineStr">
        <is>
          <t>Tenant isolation for parents</t>
        </is>
      </c>
      <c r="E40" s="9" t="inlineStr">
        <is>
          <t>Parent with 1 child</t>
        </is>
      </c>
      <c r="F40" s="9" t="inlineStr">
        <is>
          <t>1. Log in as parent
2. Try to access another student's ID in URL</t>
        </is>
      </c>
      <c r="G40" s="9" t="inlineStr">
        <is>
          <t>403 Forbidden or redirect. Cannot view other students.</t>
        </is>
      </c>
      <c r="H40" s="10" t="inlineStr">
        <is>
          <t>Critical</t>
        </is>
      </c>
      <c r="I40" s="9" t="inlineStr">
        <is>
          <t>Security</t>
        </is>
      </c>
      <c r="J40" s="9" t="inlineStr">
        <is>
          <t>Not Run</t>
        </is>
      </c>
      <c r="K40" s="9" t="inlineStr"/>
      <c r="L40" s="9" t="inlineStr"/>
    </row>
    <row r="41">
      <c r="A41" s="7" t="inlineStr">
        <is>
          <t>PAR-004</t>
        </is>
      </c>
      <c r="B41" s="18" t="inlineStr">
        <is>
          <t>Parents</t>
        </is>
      </c>
      <c r="C41" s="9" t="inlineStr">
        <is>
          <t>Parent views child's attendance</t>
        </is>
      </c>
      <c r="D41" s="9" t="inlineStr">
        <is>
          <t>Read-only attendance view</t>
        </is>
      </c>
      <c r="E41" s="9" t="inlineStr">
        <is>
          <t>Parent linked to student with attendance records</t>
        </is>
      </c>
      <c r="F41" s="9" t="inlineStr">
        <is>
          <t>1. /dashboard
2. Navigate to attendance</t>
        </is>
      </c>
      <c r="G41" s="9" t="inlineStr">
        <is>
          <t>Sees only own child's attendance history.</t>
        </is>
      </c>
      <c r="H41" s="11" t="inlineStr">
        <is>
          <t>High</t>
        </is>
      </c>
      <c r="I41" s="9" t="inlineStr">
        <is>
          <t>Functional</t>
        </is>
      </c>
      <c r="J41" s="9" t="inlineStr">
        <is>
          <t>Not Run</t>
        </is>
      </c>
      <c r="K41" s="9" t="inlineStr"/>
      <c r="L41" s="9" t="inlineStr"/>
    </row>
    <row r="42">
      <c r="A42" s="7" t="inlineStr">
        <is>
          <t>PAR-005</t>
        </is>
      </c>
      <c r="B42" s="18" t="inlineStr">
        <is>
          <t>Parents</t>
        </is>
      </c>
      <c r="C42" s="9" t="inlineStr">
        <is>
          <t>Parent cannot modify attendance</t>
        </is>
      </c>
      <c r="D42" s="9" t="inlineStr">
        <is>
          <t>Parents have read-only access</t>
        </is>
      </c>
      <c r="E42" s="9" t="inlineStr">
        <is>
          <t>Logged in as parent</t>
        </is>
      </c>
      <c r="F42" s="9" t="inlineStr">
        <is>
          <t>1. Try POST to attendance API endpoint</t>
        </is>
      </c>
      <c r="G42" s="9" t="inlineStr">
        <is>
          <t>403 Forbidden.</t>
        </is>
      </c>
      <c r="H42" s="10" t="inlineStr">
        <is>
          <t>Critical</t>
        </is>
      </c>
      <c r="I42" s="9" t="inlineStr">
        <is>
          <t>Security</t>
        </is>
      </c>
      <c r="J42" s="9" t="inlineStr">
        <is>
          <t>Not Run</t>
        </is>
      </c>
      <c r="K42" s="9" t="inlineStr"/>
      <c r="L42" s="9" t="inlineStr"/>
    </row>
    <row r="43">
      <c r="A43" s="7" t="inlineStr">
        <is>
          <t>ATT-001</t>
        </is>
      </c>
      <c r="B43" s="19" t="inlineStr">
        <is>
          <t>Attendance</t>
        </is>
      </c>
      <c r="C43" s="9" t="inlineStr">
        <is>
          <t>Mark attendance (daily)</t>
        </is>
      </c>
      <c r="D43" s="9" t="inlineStr">
        <is>
          <t>Teacher marks class attendance</t>
        </is>
      </c>
      <c r="E43" s="9" t="inlineStr">
        <is>
          <t>Class with students</t>
        </is>
      </c>
      <c r="F43" s="9" t="inlineStr">
        <is>
          <t>1. /attendance
2. Pick class + date
3. Toggle each student PRESENT/ABSENT/LATE/EXCUSED
4. Save</t>
        </is>
      </c>
      <c r="G43" s="9" t="inlineStr">
        <is>
          <t>Records saved. Check-in time recorded for PRESENT/LATE.</t>
        </is>
      </c>
      <c r="H43" s="10" t="inlineStr">
        <is>
          <t>Critical</t>
        </is>
      </c>
      <c r="I43" s="9" t="inlineStr">
        <is>
          <t>Smoke</t>
        </is>
      </c>
      <c r="J43" s="9" t="inlineStr">
        <is>
          <t>Not Run</t>
        </is>
      </c>
      <c r="K43" s="9" t="inlineStr"/>
      <c r="L43" s="9" t="inlineStr"/>
    </row>
    <row r="44">
      <c r="A44" s="7" t="inlineStr">
        <is>
          <t>ATT-002</t>
        </is>
      </c>
      <c r="B44" s="19" t="inlineStr">
        <is>
          <t>Attendance</t>
        </is>
      </c>
      <c r="C44" s="9" t="inlineStr">
        <is>
          <t>Bulk mark all present</t>
        </is>
      </c>
      <c r="D44" s="9" t="inlineStr">
        <is>
          <t>One-click mark all present</t>
        </is>
      </c>
      <c r="E44" s="9" t="inlineStr">
        <is>
          <t>Class with students</t>
        </is>
      </c>
      <c r="F44" s="9" t="inlineStr">
        <is>
          <t>1. Select class
2. Click 'Mark all Present'</t>
        </is>
      </c>
      <c r="G44" s="9" t="inlineStr">
        <is>
          <t>All students set to PRESENT.</t>
        </is>
      </c>
      <c r="H44" s="12" t="inlineStr">
        <is>
          <t>Medium</t>
        </is>
      </c>
      <c r="I44" s="9" t="inlineStr">
        <is>
          <t>Functional</t>
        </is>
      </c>
      <c r="J44" s="9" t="inlineStr">
        <is>
          <t>Not Run</t>
        </is>
      </c>
      <c r="K44" s="9" t="inlineStr"/>
      <c r="L44" s="9" t="inlineStr"/>
    </row>
    <row r="45">
      <c r="A45" s="7" t="inlineStr">
        <is>
          <t>ATT-003</t>
        </is>
      </c>
      <c r="B45" s="19" t="inlineStr">
        <is>
          <t>Attendance</t>
        </is>
      </c>
      <c r="C45" s="9" t="inlineStr">
        <is>
          <t>Attendance history</t>
        </is>
      </c>
      <c r="D45" s="9" t="inlineStr">
        <is>
          <t>View student attendance history</t>
        </is>
      </c>
      <c r="E45" s="9" t="inlineStr">
        <is>
          <t>Student with records</t>
        </is>
      </c>
      <c r="F45" s="9" t="inlineStr">
        <is>
          <t>1. Student detail
2. Attendance tab</t>
        </is>
      </c>
      <c r="G45" s="9" t="inlineStr">
        <is>
          <t>Calendar/list of past days with status.</t>
        </is>
      </c>
      <c r="H45" s="11" t="inlineStr">
        <is>
          <t>High</t>
        </is>
      </c>
      <c r="I45" s="9" t="inlineStr">
        <is>
          <t>Functional</t>
        </is>
      </c>
      <c r="J45" s="9" t="inlineStr">
        <is>
          <t>Not Run</t>
        </is>
      </c>
      <c r="K45" s="9" t="inlineStr"/>
      <c r="L45" s="9" t="inlineStr"/>
    </row>
    <row r="46">
      <c r="A46" s="7" t="inlineStr">
        <is>
          <t>ATT-004</t>
        </is>
      </c>
      <c r="B46" s="19" t="inlineStr">
        <is>
          <t>Attendance</t>
        </is>
      </c>
      <c r="C46" s="9" t="inlineStr">
        <is>
          <t>Absence notification</t>
        </is>
      </c>
      <c r="D46" s="9" t="inlineStr">
        <is>
          <t>Parent notified of absence</t>
        </is>
      </c>
      <c r="E46" s="9" t="inlineStr">
        <is>
          <t>Student marked ABSENT, parent linked, email configured</t>
        </is>
      </c>
      <c r="F46" s="9" t="inlineStr">
        <is>
          <t>1. Mark student ABSENT
2. Wait for queue</t>
        </is>
      </c>
      <c r="G46" s="9" t="inlineStr">
        <is>
          <t>Parent receives email + in-app notification.</t>
        </is>
      </c>
      <c r="H46" s="11" t="inlineStr">
        <is>
          <t>High</t>
        </is>
      </c>
      <c r="I46" s="9" t="inlineStr">
        <is>
          <t>Functional</t>
        </is>
      </c>
      <c r="J46" s="9" t="inlineStr">
        <is>
          <t>Not Run</t>
        </is>
      </c>
      <c r="K46" s="9" t="inlineStr"/>
      <c r="L46" s="9" t="inlineStr"/>
    </row>
    <row r="47">
      <c r="A47" s="7" t="inlineStr">
        <is>
          <t>ATT-005</t>
        </is>
      </c>
      <c r="B47" s="19" t="inlineStr">
        <is>
          <t>Attendance</t>
        </is>
      </c>
      <c r="C47" s="9" t="inlineStr">
        <is>
          <t>Edit attendance record</t>
        </is>
      </c>
      <c r="D47" s="9" t="inlineStr">
        <is>
          <t>Teacher corrects a record</t>
        </is>
      </c>
      <c r="E47" s="9" t="inlineStr">
        <is>
          <t>Existing record</t>
        </is>
      </c>
      <c r="F47" s="9" t="inlineStr">
        <is>
          <t>1. Open daily view
2. Change status
3. Save</t>
        </is>
      </c>
      <c r="G47" s="9" t="inlineStr">
        <is>
          <t>Status updated. Change timestamp updated.</t>
        </is>
      </c>
      <c r="H47" s="12" t="inlineStr">
        <is>
          <t>Medium</t>
        </is>
      </c>
      <c r="I47" s="9" t="inlineStr">
        <is>
          <t>Functional</t>
        </is>
      </c>
      <c r="J47" s="9" t="inlineStr">
        <is>
          <t>Not Run</t>
        </is>
      </c>
      <c r="K47" s="9" t="inlineStr"/>
      <c r="L47" s="9" t="inlineStr"/>
    </row>
    <row r="48">
      <c r="A48" s="7" t="inlineStr">
        <is>
          <t>ATT-006</t>
        </is>
      </c>
      <c r="B48" s="19" t="inlineStr">
        <is>
          <t>Attendance</t>
        </is>
      </c>
      <c r="C48" s="9" t="inlineStr">
        <is>
          <t>Attendance stats</t>
        </is>
      </c>
      <c r="D48" s="9" t="inlineStr">
        <is>
          <t>Admin sees attendance rates per class</t>
        </is>
      </c>
      <c r="E48" s="9" t="inlineStr">
        <is>
          <t>Data exists</t>
        </is>
      </c>
      <c r="F48" s="9" t="inlineStr">
        <is>
          <t>1. /attendance/stats</t>
        </is>
      </c>
      <c r="G48" s="9" t="inlineStr">
        <is>
          <t>Shows rates by class, chronic absenteeism alerts.</t>
        </is>
      </c>
      <c r="H48" s="12" t="inlineStr">
        <is>
          <t>Medium</t>
        </is>
      </c>
      <c r="I48" s="9" t="inlineStr">
        <is>
          <t>Functional</t>
        </is>
      </c>
      <c r="J48" s="9" t="inlineStr">
        <is>
          <t>Not Run</t>
        </is>
      </c>
      <c r="K48" s="9" t="inlineStr"/>
      <c r="L48" s="9" t="inlineStr"/>
    </row>
    <row r="49">
      <c r="A49" s="7" t="inlineStr">
        <is>
          <t>ATT-007</t>
        </is>
      </c>
      <c r="B49" s="19" t="inlineStr">
        <is>
          <t>Attendance</t>
        </is>
      </c>
      <c r="C49" s="9" t="inlineStr">
        <is>
          <t>Teacher only sees own classes</t>
        </is>
      </c>
      <c r="D49" s="9" t="inlineStr">
        <is>
          <t>Teacher permission scoping</t>
        </is>
      </c>
      <c r="E49" s="9" t="inlineStr">
        <is>
          <t>Teacher assigned to 1 of 3 classes</t>
        </is>
      </c>
      <c r="F49" s="9" t="inlineStr">
        <is>
          <t>1. Log in as teacher
2. Attempt to mark attendance for unassigned class</t>
        </is>
      </c>
      <c r="G49" s="9" t="inlineStr">
        <is>
          <t>Cannot select unassigned class. API returns 403.</t>
        </is>
      </c>
      <c r="H49" s="10" t="inlineStr">
        <is>
          <t>Critical</t>
        </is>
      </c>
      <c r="I49" s="9" t="inlineStr">
        <is>
          <t>Security</t>
        </is>
      </c>
      <c r="J49" s="9" t="inlineStr">
        <is>
          <t>Not Run</t>
        </is>
      </c>
      <c r="K49" s="9" t="inlineStr"/>
      <c r="L49" s="9" t="inlineStr"/>
    </row>
    <row r="50">
      <c r="A50" s="7" t="inlineStr">
        <is>
          <t>ATT-008</t>
        </is>
      </c>
      <c r="B50" s="19" t="inlineStr">
        <is>
          <t>Attendance</t>
        </is>
      </c>
      <c r="C50" s="9" t="inlineStr">
        <is>
          <t>Duplicate prevention</t>
        </is>
      </c>
      <c r="D50" s="9" t="inlineStr">
        <is>
          <t>Cannot create two records for same student+date</t>
        </is>
      </c>
      <c r="E50" s="9" t="inlineStr">
        <is>
          <t>Existing record</t>
        </is>
      </c>
      <c r="F50" s="9" t="inlineStr">
        <is>
          <t>1. Submit attendance for same student on same day</t>
        </is>
      </c>
      <c r="G50" s="9" t="inlineStr">
        <is>
          <t>Updates existing record rather than creating duplicate.</t>
        </is>
      </c>
      <c r="H50" s="11" t="inlineStr">
        <is>
          <t>High</t>
        </is>
      </c>
      <c r="I50" s="9" t="inlineStr">
        <is>
          <t>Functional</t>
        </is>
      </c>
      <c r="J50" s="9" t="inlineStr">
        <is>
          <t>Not Run</t>
        </is>
      </c>
      <c r="K50" s="9" t="inlineStr"/>
      <c r="L50" s="9" t="inlineStr"/>
    </row>
    <row r="51">
      <c r="A51" s="7" t="inlineStr">
        <is>
          <t>MSG-001</t>
        </is>
      </c>
      <c r="B51" s="20" t="inlineStr">
        <is>
          <t>Messaging</t>
        </is>
      </c>
      <c r="C51" s="9" t="inlineStr">
        <is>
          <t>School-wide announcement</t>
        </is>
      </c>
      <c r="D51" s="9" t="inlineStr">
        <is>
          <t>Admin sends announcement to all parents</t>
        </is>
      </c>
      <c r="E51" s="9" t="inlineStr">
        <is>
          <t>Logged in as admin</t>
        </is>
      </c>
      <c r="F51" s="9" t="inlineStr">
        <is>
          <t>1. /messages/compose
2. Type ANNOUNCEMENT
3. Subject + body
4. Send</t>
        </is>
      </c>
      <c r="G51" s="9" t="inlineStr">
        <is>
          <t>All parents receive in-app + email. Appears in inbox.</t>
        </is>
      </c>
      <c r="H51" s="11" t="inlineStr">
        <is>
          <t>High</t>
        </is>
      </c>
      <c r="I51" s="9" t="inlineStr">
        <is>
          <t>Functional</t>
        </is>
      </c>
      <c r="J51" s="9" t="inlineStr">
        <is>
          <t>Not Run</t>
        </is>
      </c>
      <c r="K51" s="9" t="inlineStr"/>
      <c r="L51" s="9" t="inlineStr"/>
    </row>
    <row r="52">
      <c r="A52" s="7" t="inlineStr">
        <is>
          <t>MSG-002</t>
        </is>
      </c>
      <c r="B52" s="20" t="inlineStr">
        <is>
          <t>Messaging</t>
        </is>
      </c>
      <c r="C52" s="9" t="inlineStr">
        <is>
          <t>Class announcement</t>
        </is>
      </c>
      <c r="D52" s="9" t="inlineStr">
        <is>
          <t>Teacher sends to own class parents</t>
        </is>
      </c>
      <c r="E52" s="9" t="inlineStr">
        <is>
          <t>Teacher with assigned class</t>
        </is>
      </c>
      <c r="F52" s="9" t="inlineStr">
        <is>
          <t>1. Compose CLASS_ANNOUNCEMENT
2. Select class
3. Send</t>
        </is>
      </c>
      <c r="G52" s="9" t="inlineStr">
        <is>
          <t>Only parents of that class receive. Others do not.</t>
        </is>
      </c>
      <c r="H52" s="11" t="inlineStr">
        <is>
          <t>High</t>
        </is>
      </c>
      <c r="I52" s="9" t="inlineStr">
        <is>
          <t>Functional</t>
        </is>
      </c>
      <c r="J52" s="9" t="inlineStr">
        <is>
          <t>Not Run</t>
        </is>
      </c>
      <c r="K52" s="9" t="inlineStr"/>
      <c r="L52" s="9" t="inlineStr"/>
    </row>
    <row r="53">
      <c r="A53" s="7" t="inlineStr">
        <is>
          <t>MSG-003</t>
        </is>
      </c>
      <c r="B53" s="20" t="inlineStr">
        <is>
          <t>Messaging</t>
        </is>
      </c>
      <c r="C53" s="9" t="inlineStr">
        <is>
          <t>Student-specific message</t>
        </is>
      </c>
      <c r="D53" s="9" t="inlineStr">
        <is>
          <t>Message to one student's parents</t>
        </is>
      </c>
      <c r="E53" s="9" t="inlineStr">
        <is>
          <t>Student with linked parents</t>
        </is>
      </c>
      <c r="F53" s="9" t="inlineStr">
        <is>
          <t>1. Compose STUDENT_MESSAGE
2. Select student
3. Send</t>
        </is>
      </c>
      <c r="G53" s="9" t="inlineStr">
        <is>
          <t>Only that student's parents see it.</t>
        </is>
      </c>
      <c r="H53" s="11" t="inlineStr">
        <is>
          <t>High</t>
        </is>
      </c>
      <c r="I53" s="9" t="inlineStr">
        <is>
          <t>Functional</t>
        </is>
      </c>
      <c r="J53" s="9" t="inlineStr">
        <is>
          <t>Not Run</t>
        </is>
      </c>
      <c r="K53" s="9" t="inlineStr"/>
      <c r="L53" s="9" t="inlineStr"/>
    </row>
    <row r="54">
      <c r="A54" s="7" t="inlineStr">
        <is>
          <t>MSG-004</t>
        </is>
      </c>
      <c r="B54" s="20" t="inlineStr">
        <is>
          <t>Messaging</t>
        </is>
      </c>
      <c r="C54" s="9" t="inlineStr">
        <is>
          <t>Parent reply</t>
        </is>
      </c>
      <c r="D54" s="9" t="inlineStr">
        <is>
          <t>Parent replies to thread</t>
        </is>
      </c>
      <c r="E54" s="9" t="inlineStr">
        <is>
          <t>Parent has received a message</t>
        </is>
      </c>
      <c r="F54" s="9" t="inlineStr">
        <is>
          <t>1. Open message
2. Reply
3. Send</t>
        </is>
      </c>
      <c r="G54" s="9" t="inlineStr">
        <is>
          <t>Reply appears in thread. Sender (teacher/admin) notified.</t>
        </is>
      </c>
      <c r="H54" s="12" t="inlineStr">
        <is>
          <t>Medium</t>
        </is>
      </c>
      <c r="I54" s="9" t="inlineStr">
        <is>
          <t>Functional</t>
        </is>
      </c>
      <c r="J54" s="9" t="inlineStr">
        <is>
          <t>Not Run</t>
        </is>
      </c>
      <c r="K54" s="9" t="inlineStr"/>
      <c r="L54" s="9" t="inlineStr"/>
    </row>
    <row r="55">
      <c r="A55" s="7" t="inlineStr">
        <is>
          <t>MSG-005</t>
        </is>
      </c>
      <c r="B55" s="20" t="inlineStr">
        <is>
          <t>Messaging</t>
        </is>
      </c>
      <c r="C55" s="9" t="inlineStr">
        <is>
          <t>Inbox tabs</t>
        </is>
      </c>
      <c r="D55" s="9" t="inlineStr">
        <is>
          <t>Filter by message type</t>
        </is>
      </c>
      <c r="E55" s="9" t="inlineStr">
        <is>
          <t>Various messages exist</t>
        </is>
      </c>
      <c r="F55" s="9" t="inlineStr">
        <is>
          <t>1. /messages
2. Tabs: All / Announcements / Photos / Documents</t>
        </is>
      </c>
      <c r="G55" s="9" t="inlineStr">
        <is>
          <t>Each tab filters correctly. Unread badges update.</t>
        </is>
      </c>
      <c r="H55" s="12" t="inlineStr">
        <is>
          <t>Medium</t>
        </is>
      </c>
      <c r="I55" s="9" t="inlineStr">
        <is>
          <t>UI</t>
        </is>
      </c>
      <c r="J55" s="9" t="inlineStr">
        <is>
          <t>Not Run</t>
        </is>
      </c>
      <c r="K55" s="9" t="inlineStr"/>
      <c r="L55" s="9" t="inlineStr"/>
    </row>
    <row r="56">
      <c r="A56" s="7" t="inlineStr">
        <is>
          <t>MSG-006</t>
        </is>
      </c>
      <c r="B56" s="20" t="inlineStr">
        <is>
          <t>Messaging</t>
        </is>
      </c>
      <c r="C56" s="9" t="inlineStr">
        <is>
          <t>Mark as read</t>
        </is>
      </c>
      <c r="D56" s="9" t="inlineStr">
        <is>
          <t>Read flag updates</t>
        </is>
      </c>
      <c r="E56" s="9" t="inlineStr">
        <is>
          <t>Unread message</t>
        </is>
      </c>
      <c r="F56" s="9" t="inlineStr">
        <is>
          <t>1. Open message</t>
        </is>
      </c>
      <c r="G56" s="9" t="inlineStr">
        <is>
          <t>Unread count decreases. Message marked read.</t>
        </is>
      </c>
      <c r="H56" s="15" t="inlineStr">
        <is>
          <t>Low</t>
        </is>
      </c>
      <c r="I56" s="9" t="inlineStr">
        <is>
          <t>Functional</t>
        </is>
      </c>
      <c r="J56" s="9" t="inlineStr">
        <is>
          <t>Not Run</t>
        </is>
      </c>
      <c r="K56" s="9" t="inlineStr"/>
      <c r="L56" s="9" t="inlineStr"/>
    </row>
    <row r="57">
      <c r="A57" s="7" t="inlineStr">
        <is>
          <t>MSG-007</t>
        </is>
      </c>
      <c r="B57" s="20" t="inlineStr">
        <is>
          <t>Messaging</t>
        </is>
      </c>
      <c r="C57" s="9" t="inlineStr">
        <is>
          <t>Photo sharing</t>
        </is>
      </c>
      <c r="D57" s="9" t="inlineStr">
        <is>
          <t>Share photos to parents</t>
        </is>
      </c>
      <c r="E57" s="9" t="inlineStr">
        <is>
          <t>Class/student selected</t>
        </is>
      </c>
      <c r="F57" s="9" t="inlineStr">
        <is>
          <t>1. Compose
2. CLASS_PHOTO / STUDENT_PHOTO
3. Attach photos
4. Send</t>
        </is>
      </c>
      <c r="G57" s="9" t="inlineStr">
        <is>
          <t>Photos uploaded. Parents see them in inbox + photo gallery.</t>
        </is>
      </c>
      <c r="H57" s="12" t="inlineStr">
        <is>
          <t>Medium</t>
        </is>
      </c>
      <c r="I57" s="9" t="inlineStr">
        <is>
          <t>Functional</t>
        </is>
      </c>
      <c r="J57" s="9" t="inlineStr">
        <is>
          <t>Not Run</t>
        </is>
      </c>
      <c r="K57" s="9" t="inlineStr"/>
      <c r="L57" s="9" t="inlineStr"/>
    </row>
    <row r="58">
      <c r="A58" s="7" t="inlineStr">
        <is>
          <t>MSG-008</t>
        </is>
      </c>
      <c r="B58" s="20" t="inlineStr">
        <is>
          <t>Messaging</t>
        </is>
      </c>
      <c r="C58" s="9" t="inlineStr">
        <is>
          <t>Document sharing</t>
        </is>
      </c>
      <c r="D58" s="9" t="inlineStr">
        <is>
          <t>Share documents (PDF/Word)</t>
        </is>
      </c>
      <c r="E58" s="9" t="inlineStr">
        <is>
          <t>File ready</t>
        </is>
      </c>
      <c r="F58" s="9" t="inlineStr">
        <is>
          <t>1. Compose
2. CLASS_DOCUMENT
3. Attach PDF (&lt;10MB)
4. Send</t>
        </is>
      </c>
      <c r="G58" s="9" t="inlineStr">
        <is>
          <t>Recipients see document. Download works.</t>
        </is>
      </c>
      <c r="H58" s="12" t="inlineStr">
        <is>
          <t>Medium</t>
        </is>
      </c>
      <c r="I58" s="9" t="inlineStr">
        <is>
          <t>Functional</t>
        </is>
      </c>
      <c r="J58" s="9" t="inlineStr">
        <is>
          <t>Not Run</t>
        </is>
      </c>
      <c r="K58" s="9" t="inlineStr"/>
      <c r="L58" s="9" t="inlineStr"/>
    </row>
    <row r="59">
      <c r="A59" s="7" t="inlineStr">
        <is>
          <t>FIL-001</t>
        </is>
      </c>
      <c r="B59" s="21" t="inlineStr">
        <is>
          <t>Files</t>
        </is>
      </c>
      <c r="C59" s="9" t="inlineStr">
        <is>
          <t>Upload photo</t>
        </is>
      </c>
      <c r="D59" s="9" t="inlineStr">
        <is>
          <t>Upload a JPG/PNG under size limit</t>
        </is>
      </c>
      <c r="E59" s="9" t="inlineStr">
        <is>
          <t>Admin/teacher logged in</t>
        </is>
      </c>
      <c r="F59" s="9" t="inlineStr">
        <is>
          <t>1. /photos
2. Drag/drop JPG (&lt;5MB)</t>
        </is>
      </c>
      <c r="G59" s="9" t="inlineStr">
        <is>
          <t>Uploaded. Appears in gallery. Thumbnail generated.</t>
        </is>
      </c>
      <c r="H59" s="11" t="inlineStr">
        <is>
          <t>High</t>
        </is>
      </c>
      <c r="I59" s="9" t="inlineStr">
        <is>
          <t>Smoke</t>
        </is>
      </c>
      <c r="J59" s="9" t="inlineStr">
        <is>
          <t>Not Run</t>
        </is>
      </c>
      <c r="K59" s="9" t="inlineStr"/>
      <c r="L59" s="9" t="inlineStr"/>
    </row>
    <row r="60">
      <c r="A60" s="7" t="inlineStr">
        <is>
          <t>FIL-002</t>
        </is>
      </c>
      <c r="B60" s="21" t="inlineStr">
        <is>
          <t>Files</t>
        </is>
      </c>
      <c r="C60" s="9" t="inlineStr">
        <is>
          <t>Upload oversized file</t>
        </is>
      </c>
      <c r="D60" s="9" t="inlineStr">
        <is>
          <t>Reject file over size limit</t>
        </is>
      </c>
      <c r="E60" s="9" t="inlineStr">
        <is>
          <t>File &gt; 10MB</t>
        </is>
      </c>
      <c r="F60" s="9" t="inlineStr">
        <is>
          <t>1. Try to upload 15MB file</t>
        </is>
      </c>
      <c r="G60" s="9" t="inlineStr">
        <is>
          <t>Error message: file too large. Upload rejected.</t>
        </is>
      </c>
      <c r="H60" s="11" t="inlineStr">
        <is>
          <t>High</t>
        </is>
      </c>
      <c r="I60" s="9" t="inlineStr">
        <is>
          <t>Negative</t>
        </is>
      </c>
      <c r="J60" s="9" t="inlineStr">
        <is>
          <t>Not Run</t>
        </is>
      </c>
      <c r="K60" s="9" t="inlineStr"/>
      <c r="L60" s="9" t="inlineStr"/>
    </row>
    <row r="61">
      <c r="A61" s="7" t="inlineStr">
        <is>
          <t>FIL-003</t>
        </is>
      </c>
      <c r="B61" s="21" t="inlineStr">
        <is>
          <t>Files</t>
        </is>
      </c>
      <c r="C61" s="9" t="inlineStr">
        <is>
          <t>Upload disallowed type</t>
        </is>
      </c>
      <c r="D61" s="9" t="inlineStr">
        <is>
          <t>Reject .exe or other non-media</t>
        </is>
      </c>
      <c r="E61" s="9" t="inlineStr">
        <is>
          <t>Has .exe file</t>
        </is>
      </c>
      <c r="F61" s="9" t="inlineStr">
        <is>
          <t>1. Try to upload .exe</t>
        </is>
      </c>
      <c r="G61" s="9" t="inlineStr">
        <is>
          <t>Error: file type not allowed.</t>
        </is>
      </c>
      <c r="H61" s="10" t="inlineStr">
        <is>
          <t>Critical</t>
        </is>
      </c>
      <c r="I61" s="9" t="inlineStr">
        <is>
          <t>Security</t>
        </is>
      </c>
      <c r="J61" s="9" t="inlineStr">
        <is>
          <t>Not Run</t>
        </is>
      </c>
      <c r="K61" s="9" t="inlineStr"/>
      <c r="L61" s="9" t="inlineStr"/>
    </row>
    <row r="62">
      <c r="A62" s="7" t="inlineStr">
        <is>
          <t>FIL-004</t>
        </is>
      </c>
      <c r="B62" s="21" t="inlineStr">
        <is>
          <t>Files</t>
        </is>
      </c>
      <c r="C62" s="9" t="inlineStr">
        <is>
          <t>Download file</t>
        </is>
      </c>
      <c r="D62" s="9" t="inlineStr">
        <is>
          <t>User can download uploaded file</t>
        </is>
      </c>
      <c r="E62" s="9" t="inlineStr">
        <is>
          <t>File exists</t>
        </is>
      </c>
      <c r="F62" s="9" t="inlineStr">
        <is>
          <t>1. Click download</t>
        </is>
      </c>
      <c r="G62" s="9" t="inlineStr">
        <is>
          <t>File downloads with original name.</t>
        </is>
      </c>
      <c r="H62" s="12" t="inlineStr">
        <is>
          <t>Medium</t>
        </is>
      </c>
      <c r="I62" s="9" t="inlineStr">
        <is>
          <t>Functional</t>
        </is>
      </c>
      <c r="J62" s="9" t="inlineStr">
        <is>
          <t>Not Run</t>
        </is>
      </c>
      <c r="K62" s="9" t="inlineStr"/>
      <c r="L62" s="9" t="inlineStr"/>
    </row>
    <row r="63">
      <c r="A63" s="7" t="inlineStr">
        <is>
          <t>FIL-005</t>
        </is>
      </c>
      <c r="B63" s="21" t="inlineStr">
        <is>
          <t>Files</t>
        </is>
      </c>
      <c r="C63" s="9" t="inlineStr">
        <is>
          <t>Delete own file</t>
        </is>
      </c>
      <c r="D63" s="9" t="inlineStr">
        <is>
          <t>User deletes file they uploaded</t>
        </is>
      </c>
      <c r="E63" s="9" t="inlineStr">
        <is>
          <t>Uploaded file</t>
        </is>
      </c>
      <c r="F63" s="9" t="inlineStr">
        <is>
          <t>1. Open file
2. Delete</t>
        </is>
      </c>
      <c r="G63" s="9" t="inlineStr">
        <is>
          <t>File soft-deleted. Gone from gallery.</t>
        </is>
      </c>
      <c r="H63" s="12" t="inlineStr">
        <is>
          <t>Medium</t>
        </is>
      </c>
      <c r="I63" s="9" t="inlineStr">
        <is>
          <t>Functional</t>
        </is>
      </c>
      <c r="J63" s="9" t="inlineStr">
        <is>
          <t>Not Run</t>
        </is>
      </c>
      <c r="K63" s="9" t="inlineStr"/>
      <c r="L63" s="9" t="inlineStr"/>
    </row>
    <row r="64">
      <c r="A64" s="7" t="inlineStr">
        <is>
          <t>FIL-006</t>
        </is>
      </c>
      <c r="B64" s="21" t="inlineStr">
        <is>
          <t>Files</t>
        </is>
      </c>
      <c r="C64" s="9" t="inlineStr">
        <is>
          <t>Parent cannot delete school files</t>
        </is>
      </c>
      <c r="D64" s="9" t="inlineStr">
        <is>
          <t>Read-only for parents</t>
        </is>
      </c>
      <c r="E64" s="9" t="inlineStr">
        <is>
          <t>Logged in as parent</t>
        </is>
      </c>
      <c r="F64" s="9" t="inlineStr">
        <is>
          <t>1. Try DELETE /api/v1/files/{id}</t>
        </is>
      </c>
      <c r="G64" s="9" t="inlineStr">
        <is>
          <t>403 Forbidden.</t>
        </is>
      </c>
      <c r="H64" s="11" t="inlineStr">
        <is>
          <t>High</t>
        </is>
      </c>
      <c r="I64" s="9" t="inlineStr">
        <is>
          <t>Security</t>
        </is>
      </c>
      <c r="J64" s="9" t="inlineStr">
        <is>
          <t>Not Run</t>
        </is>
      </c>
      <c r="K64" s="9" t="inlineStr"/>
      <c r="L64" s="9" t="inlineStr"/>
    </row>
    <row r="65">
      <c r="A65" s="7" t="inlineStr">
        <is>
          <t>RPT-001</t>
        </is>
      </c>
      <c r="B65" s="22" t="inlineStr">
        <is>
          <t>Reports</t>
        </is>
      </c>
      <c r="C65" s="9" t="inlineStr">
        <is>
          <t>Create daily report (daycare)</t>
        </is>
      </c>
      <c r="D65" s="9" t="inlineStr">
        <is>
          <t>Teacher fills daily activity report</t>
        </is>
      </c>
      <c r="E65" s="9" t="inlineStr">
        <is>
          <t>Daycare tenant, student in class</t>
        </is>
      </c>
      <c r="F65" s="9" t="inlineStr">
        <is>
          <t>1. Student detail &gt; Create Report
2. Select template
3. Fill sections
4. Save Draft</t>
        </is>
      </c>
      <c r="G65" s="9" t="inlineStr">
        <is>
          <t>Report saved as DRAFT.</t>
        </is>
      </c>
      <c r="H65" s="11" t="inlineStr">
        <is>
          <t>High</t>
        </is>
      </c>
      <c r="I65" s="9" t="inlineStr">
        <is>
          <t>Functional</t>
        </is>
      </c>
      <c r="J65" s="9" t="inlineStr">
        <is>
          <t>Not Run</t>
        </is>
      </c>
      <c r="K65" s="9" t="inlineStr"/>
      <c r="L65" s="9" t="inlineStr"/>
    </row>
    <row r="66">
      <c r="A66" s="7" t="inlineStr">
        <is>
          <t>RPT-002</t>
        </is>
      </c>
      <c r="B66" s="22" t="inlineStr">
        <is>
          <t>Reports</t>
        </is>
      </c>
      <c r="C66" s="9" t="inlineStr">
        <is>
          <t>Finalize report</t>
        </is>
      </c>
      <c r="D66" s="9" t="inlineStr">
        <is>
          <t>Finalize and notify parents</t>
        </is>
      </c>
      <c r="E66" s="9" t="inlineStr">
        <is>
          <t>Draft report exists</t>
        </is>
      </c>
      <c r="F66" s="9" t="inlineStr">
        <is>
          <t>1. Open draft
2. Finalize</t>
        </is>
      </c>
      <c r="G66" s="9" t="inlineStr">
        <is>
          <t>Status = FINALIZED. Parents receive notification + email.</t>
        </is>
      </c>
      <c r="H66" s="11" t="inlineStr">
        <is>
          <t>High</t>
        </is>
      </c>
      <c r="I66" s="9" t="inlineStr">
        <is>
          <t>Functional</t>
        </is>
      </c>
      <c r="J66" s="9" t="inlineStr">
        <is>
          <t>Not Run</t>
        </is>
      </c>
      <c r="K66" s="9" t="inlineStr"/>
      <c r="L66" s="9" t="inlineStr"/>
    </row>
    <row r="67">
      <c r="A67" s="7" t="inlineStr">
        <is>
          <t>RPT-003</t>
        </is>
      </c>
      <c r="B67" s="22" t="inlineStr">
        <is>
          <t>Reports</t>
        </is>
      </c>
      <c r="C67" s="9" t="inlineStr">
        <is>
          <t>Report template CRUD</t>
        </is>
      </c>
      <c r="D67" s="9" t="inlineStr">
        <is>
          <t>Admin creates custom template</t>
        </is>
      </c>
      <c r="E67" s="9" t="inlineStr">
        <is>
          <t>Logged in as admin</t>
        </is>
      </c>
      <c r="F67" s="9" t="inlineStr">
        <is>
          <t>1. Reports &gt; Templates &gt; New
2. Add sections
3. Save</t>
        </is>
      </c>
      <c r="G67" s="9" t="inlineStr">
        <is>
          <t>Template available for report creation.</t>
        </is>
      </c>
      <c r="H67" s="12" t="inlineStr">
        <is>
          <t>Medium</t>
        </is>
      </c>
      <c r="I67" s="9" t="inlineStr">
        <is>
          <t>Functional</t>
        </is>
      </c>
      <c r="J67" s="9" t="inlineStr">
        <is>
          <t>Not Run</t>
        </is>
      </c>
      <c r="K67" s="9" t="inlineStr"/>
      <c r="L67" s="9" t="inlineStr"/>
    </row>
    <row r="68">
      <c r="A68" s="7" t="inlineStr">
        <is>
          <t>RPT-004</t>
        </is>
      </c>
      <c r="B68" s="22" t="inlineStr">
        <is>
          <t>Reports</t>
        </is>
      </c>
      <c r="C68" s="9" t="inlineStr">
        <is>
          <t>Parent views report</t>
        </is>
      </c>
      <c r="D68" s="9" t="inlineStr">
        <is>
          <t>Parent sees child's finalized reports</t>
        </is>
      </c>
      <c r="E68" s="9" t="inlineStr">
        <is>
          <t>Parent + finalized report exists</t>
        </is>
      </c>
      <c r="F68" s="9" t="inlineStr">
        <is>
          <t>1. Log in as parent
2. Child &gt; Reports</t>
        </is>
      </c>
      <c r="G68" s="9" t="inlineStr">
        <is>
          <t>Sees only own child's reports. DRAFT not visible.</t>
        </is>
      </c>
      <c r="H68" s="11" t="inlineStr">
        <is>
          <t>High</t>
        </is>
      </c>
      <c r="I68" s="9" t="inlineStr">
        <is>
          <t>Security</t>
        </is>
      </c>
      <c r="J68" s="9" t="inlineStr">
        <is>
          <t>Not Run</t>
        </is>
      </c>
      <c r="K68" s="9" t="inlineStr"/>
      <c r="L68" s="9" t="inlineStr"/>
    </row>
    <row r="69">
      <c r="A69" s="7" t="inlineStr">
        <is>
          <t>RPT-005</t>
        </is>
      </c>
      <c r="B69" s="22" t="inlineStr">
        <is>
          <t>Reports</t>
        </is>
      </c>
      <c r="C69" s="9" t="inlineStr">
        <is>
          <t>Report card (primary school)</t>
        </is>
      </c>
      <c r="D69" s="9" t="inlineStr">
        <is>
          <t>Generate report card with academic grades</t>
        </is>
      </c>
      <c r="E69" s="9" t="inlineStr">
        <is>
          <t>Primary school tenant, subjects assigned</t>
        </is>
      </c>
      <c r="F69" s="9" t="inlineStr">
        <is>
          <t>1. Create report
2. Template = Report Card
3. Fill marks
4. Finalize</t>
        </is>
      </c>
      <c r="G69" s="9" t="inlineStr">
        <is>
          <t>Grades auto-calculated using grading system. Printable output.</t>
        </is>
      </c>
      <c r="H69" s="11" t="inlineStr">
        <is>
          <t>High</t>
        </is>
      </c>
      <c r="I69" s="9" t="inlineStr">
        <is>
          <t>Functional</t>
        </is>
      </c>
      <c r="J69" s="9" t="inlineStr">
        <is>
          <t>Not Run</t>
        </is>
      </c>
      <c r="K69" s="9" t="inlineStr"/>
      <c r="L69" s="9" t="inlineStr"/>
    </row>
    <row r="70">
      <c r="A70" s="7" t="inlineStr">
        <is>
          <t>RPT-006</t>
        </is>
      </c>
      <c r="B70" s="22" t="inlineStr">
        <is>
          <t>Reports</t>
        </is>
      </c>
      <c r="C70" s="9" t="inlineStr">
        <is>
          <t>/reports/new 'new' bug check</t>
        </is>
      </c>
      <c r="D70" s="9" t="inlineStr">
        <is>
          <t>Old broken link regression</t>
        </is>
      </c>
      <c r="E70" s="9" t="inlineStr">
        <is>
          <t>Logged in</t>
        </is>
      </c>
      <c r="F70" s="9" t="inlineStr">
        <is>
          <t>1. Go to /reports/new</t>
        </is>
      </c>
      <c r="G70" s="9" t="inlineStr">
        <is>
          <t>Redirects to /reports/create or shows form. NO 422 UUID error.</t>
        </is>
      </c>
      <c r="H70" s="11" t="inlineStr">
        <is>
          <t>High</t>
        </is>
      </c>
      <c r="I70" s="9" t="inlineStr">
        <is>
          <t>Regression</t>
        </is>
      </c>
      <c r="J70" s="9" t="inlineStr">
        <is>
          <t>Not Run</t>
        </is>
      </c>
      <c r="K70" s="9" t="inlineStr"/>
      <c r="L70" s="9" t="inlineStr"/>
    </row>
    <row r="71">
      <c r="A71" s="7" t="inlineStr">
        <is>
          <t>RPT-007</t>
        </is>
      </c>
      <c r="B71" s="22" t="inlineStr">
        <is>
          <t>Reports</t>
        </is>
      </c>
      <c r="C71" s="9" t="inlineStr">
        <is>
          <t>Narrative section rendering</t>
        </is>
      </c>
      <c r="D71" s="9" t="inlineStr">
        <is>
          <t>Long narrative text renders safely</t>
        </is>
      </c>
      <c r="E71" s="9" t="inlineStr">
        <is>
          <t>Report with long text + HTML</t>
        </is>
      </c>
      <c r="F71" s="9" t="inlineStr">
        <is>
          <t>1. View finalized report</t>
        </is>
      </c>
      <c r="G71" s="9" t="inlineStr">
        <is>
          <t>Text escaped (no script execution). Line breaks preserved.</t>
        </is>
      </c>
      <c r="H71" s="12" t="inlineStr">
        <is>
          <t>Medium</t>
        </is>
      </c>
      <c r="I71" s="9" t="inlineStr">
        <is>
          <t>Security</t>
        </is>
      </c>
      <c r="J71" s="9" t="inlineStr">
        <is>
          <t>Not Run</t>
        </is>
      </c>
      <c r="K71" s="9" t="inlineStr"/>
      <c r="L71" s="9" t="inlineStr"/>
    </row>
    <row r="72">
      <c r="A72" s="7" t="inlineStr">
        <is>
          <t>RPT-008</t>
        </is>
      </c>
      <c r="B72" s="22" t="inlineStr">
        <is>
          <t>Reports</t>
        </is>
      </c>
      <c r="C72" s="9" t="inlineStr">
        <is>
          <t>Report listing filter</t>
        </is>
      </c>
      <c r="D72" s="9" t="inlineStr">
        <is>
          <t>Filter reports by class/student/date</t>
        </is>
      </c>
      <c r="E72" s="9" t="inlineStr">
        <is>
          <t>Multiple reports exist</t>
        </is>
      </c>
      <c r="F72" s="9" t="inlineStr">
        <is>
          <t>1. /reports
2. Apply filters</t>
        </is>
      </c>
      <c r="G72" s="9" t="inlineStr">
        <is>
          <t>Correct subset shown.</t>
        </is>
      </c>
      <c r="H72" s="12" t="inlineStr">
        <is>
          <t>Medium</t>
        </is>
      </c>
      <c r="I72" s="9" t="inlineStr">
        <is>
          <t>Functional</t>
        </is>
      </c>
      <c r="J72" s="9" t="inlineStr">
        <is>
          <t>Not Run</t>
        </is>
      </c>
      <c r="K72" s="9" t="inlineStr"/>
      <c r="L72" s="9" t="inlineStr"/>
    </row>
    <row r="73">
      <c r="A73" s="7" t="inlineStr">
        <is>
          <t>ACA-001</t>
        </is>
      </c>
      <c r="B73" s="23" t="inlineStr">
        <is>
          <t>Academic</t>
        </is>
      </c>
      <c r="C73" s="9" t="inlineStr">
        <is>
          <t>Create subject</t>
        </is>
      </c>
      <c r="D73" s="9" t="inlineStr">
        <is>
          <t>Admin adds a subject</t>
        </is>
      </c>
      <c r="E73" s="9" t="inlineStr">
        <is>
          <t>Logged in as admin</t>
        </is>
      </c>
      <c r="F73" s="9" t="inlineStr">
        <is>
          <t>1. /academic
2. Subjects &gt; New
3. Name + code
4. Save</t>
        </is>
      </c>
      <c r="G73" s="9" t="inlineStr">
        <is>
          <t>Subject created, unique code enforced.</t>
        </is>
      </c>
      <c r="H73" s="11" t="inlineStr">
        <is>
          <t>High</t>
        </is>
      </c>
      <c r="I73" s="9" t="inlineStr">
        <is>
          <t>Functional</t>
        </is>
      </c>
      <c r="J73" s="9" t="inlineStr">
        <is>
          <t>Not Run</t>
        </is>
      </c>
      <c r="K73" s="9" t="inlineStr"/>
      <c r="L73" s="9" t="inlineStr"/>
    </row>
    <row r="74">
      <c r="A74" s="7" t="inlineStr">
        <is>
          <t>ACA-002</t>
        </is>
      </c>
      <c r="B74" s="23" t="inlineStr">
        <is>
          <t>Academic</t>
        </is>
      </c>
      <c r="C74" s="9" t="inlineStr">
        <is>
          <t>Assign subject to class</t>
        </is>
      </c>
      <c r="D74" s="9" t="inlineStr">
        <is>
          <t>Link subject to class with optional marks override</t>
        </is>
      </c>
      <c r="E74" s="9" t="inlineStr">
        <is>
          <t>Subject + class exist</t>
        </is>
      </c>
      <c r="F74" s="9" t="inlineStr">
        <is>
          <t>1. Class page &gt; Subjects
2. Add subject
3. Set total marks
4. Save</t>
        </is>
      </c>
      <c r="G74" s="9" t="inlineStr">
        <is>
          <t>Subject shows in class. Effective total marks = override or default.</t>
        </is>
      </c>
      <c r="H74" s="11" t="inlineStr">
        <is>
          <t>High</t>
        </is>
      </c>
      <c r="I74" s="9" t="inlineStr">
        <is>
          <t>Functional</t>
        </is>
      </c>
      <c r="J74" s="9" t="inlineStr">
        <is>
          <t>Not Run</t>
        </is>
      </c>
      <c r="K74" s="9" t="inlineStr"/>
      <c r="L74" s="9" t="inlineStr"/>
    </row>
    <row r="75">
      <c r="A75" s="7" t="inlineStr">
        <is>
          <t>ACA-003</t>
        </is>
      </c>
      <c r="B75" s="23" t="inlineStr">
        <is>
          <t>Academic</t>
        </is>
      </c>
      <c r="C75" s="9" t="inlineStr">
        <is>
          <t>Setup default subjects</t>
        </is>
      </c>
      <c r="D75" s="9" t="inlineStr">
        <is>
          <t>One-click default creation</t>
        </is>
      </c>
      <c r="E75" s="9" t="inlineStr">
        <is>
          <t>Empty academic config</t>
        </is>
      </c>
      <c r="F75" s="9" t="inlineStr">
        <is>
          <t>1. Click 'Setup Defaults'</t>
        </is>
      </c>
      <c r="G75" s="9" t="inlineStr">
        <is>
          <t>9 primary or 10 high school subjects created.</t>
        </is>
      </c>
      <c r="H75" s="12" t="inlineStr">
        <is>
          <t>Medium</t>
        </is>
      </c>
      <c r="I75" s="9" t="inlineStr">
        <is>
          <t>Functional</t>
        </is>
      </c>
      <c r="J75" s="9" t="inlineStr">
        <is>
          <t>Not Run</t>
        </is>
      </c>
      <c r="K75" s="9" t="inlineStr"/>
      <c r="L75" s="9" t="inlineStr"/>
    </row>
    <row r="76">
      <c r="A76" s="7" t="inlineStr">
        <is>
          <t>ACA-004</t>
        </is>
      </c>
      <c r="B76" s="23" t="inlineStr">
        <is>
          <t>Academic</t>
        </is>
      </c>
      <c r="C76" s="9" t="inlineStr">
        <is>
          <t>Grading system CRUD</t>
        </is>
      </c>
      <c r="D76" s="9" t="inlineStr">
        <is>
          <t>Create custom grading scale</t>
        </is>
      </c>
      <c r="E76" s="9" t="inlineStr">
        <is>
          <t>Admin logged in</t>
        </is>
      </c>
      <c r="F76" s="9" t="inlineStr">
        <is>
          <t>1. Grading Systems &gt; New
2. Add grade bands (0-49 F, 50-59 D, ...)
3. Mark default
4. Save</t>
        </is>
      </c>
      <c r="G76" s="9" t="inlineStr">
        <is>
          <t>Grading system saved. Default flag enforced (only one).</t>
        </is>
      </c>
      <c r="H76" s="12" t="inlineStr">
        <is>
          <t>Medium</t>
        </is>
      </c>
      <c r="I76" s="9" t="inlineStr">
        <is>
          <t>Functional</t>
        </is>
      </c>
      <c r="J76" s="9" t="inlineStr">
        <is>
          <t>Not Run</t>
        </is>
      </c>
      <c r="K76" s="9" t="inlineStr"/>
      <c r="L76" s="9" t="inlineStr"/>
    </row>
    <row r="77">
      <c r="A77" s="7" t="inlineStr">
        <is>
          <t>ACA-005</t>
        </is>
      </c>
      <c r="B77" s="23" t="inlineStr">
        <is>
          <t>Academic</t>
        </is>
      </c>
      <c r="C77" s="9" t="inlineStr">
        <is>
          <t>Bulk assign subjects</t>
        </is>
      </c>
      <c r="D77" s="9" t="inlineStr">
        <is>
          <t>Copy subjects from one class to another</t>
        </is>
      </c>
      <c r="E77" s="9" t="inlineStr">
        <is>
          <t>Source class has subjects</t>
        </is>
      </c>
      <c r="F77" s="9" t="inlineStr">
        <is>
          <t>1. Target class &gt; Bulk Assign
2. Pick source
3. Apply</t>
        </is>
      </c>
      <c r="G77" s="9" t="inlineStr">
        <is>
          <t>All source subjects now in target.</t>
        </is>
      </c>
      <c r="H77" s="15" t="inlineStr">
        <is>
          <t>Low</t>
        </is>
      </c>
      <c r="I77" s="9" t="inlineStr">
        <is>
          <t>Functional</t>
        </is>
      </c>
      <c r="J77" s="9" t="inlineStr">
        <is>
          <t>Not Run</t>
        </is>
      </c>
      <c r="K77" s="9" t="inlineStr"/>
      <c r="L77" s="9" t="inlineStr"/>
    </row>
    <row r="78">
      <c r="A78" s="7" t="inlineStr">
        <is>
          <t>ACA-006</t>
        </is>
      </c>
      <c r="B78" s="23" t="inlineStr">
        <is>
          <t>Academic</t>
        </is>
      </c>
      <c r="C78" s="9" t="inlineStr">
        <is>
          <t>Remove subject from class</t>
        </is>
      </c>
      <c r="D78" s="9" t="inlineStr">
        <is>
          <t>Unlink a subject</t>
        </is>
      </c>
      <c r="E78" s="9" t="inlineStr">
        <is>
          <t>Class has a subject</t>
        </is>
      </c>
      <c r="F78" s="9" t="inlineStr">
        <is>
          <t>1. Remove subject from class</t>
        </is>
      </c>
      <c r="G78" s="9" t="inlineStr">
        <is>
          <t>Removed. Existing reports unaffected.</t>
        </is>
      </c>
      <c r="H78" s="12" t="inlineStr">
        <is>
          <t>Medium</t>
        </is>
      </c>
      <c r="I78" s="9" t="inlineStr">
        <is>
          <t>Functional</t>
        </is>
      </c>
      <c r="J78" s="9" t="inlineStr">
        <is>
          <t>Not Run</t>
        </is>
      </c>
      <c r="K78" s="9" t="inlineStr"/>
      <c r="L78" s="9" t="inlineStr"/>
    </row>
    <row r="79">
      <c r="A79" s="7" t="inlineStr">
        <is>
          <t>TT-001</t>
        </is>
      </c>
      <c r="B79" s="24" t="inlineStr">
        <is>
          <t>Timetable</t>
        </is>
      </c>
      <c r="C79" s="9" t="inlineStr">
        <is>
          <t>Feature flag gated</t>
        </is>
      </c>
      <c r="D79" s="9" t="inlineStr">
        <is>
          <t>Timetable link only shows when enabled</t>
        </is>
      </c>
      <c r="E79" s="9" t="inlineStr">
        <is>
          <t>Primary/high school tenant</t>
        </is>
      </c>
      <c r="F79" s="9" t="inlineStr">
        <is>
          <t>1. Log in
2. Look at sidebar</t>
        </is>
      </c>
      <c r="G79" s="9" t="inlineStr">
        <is>
          <t>'Timetable' link visible. If disabled in settings, link hidden.</t>
        </is>
      </c>
      <c r="H79" s="10" t="inlineStr">
        <is>
          <t>Critical</t>
        </is>
      </c>
      <c r="I79" s="9" t="inlineStr">
        <is>
          <t>Smoke</t>
        </is>
      </c>
      <c r="J79" s="9" t="inlineStr">
        <is>
          <t>Not Run</t>
        </is>
      </c>
      <c r="K79" s="9" t="inlineStr"/>
      <c r="L79" s="9" t="inlineStr"/>
    </row>
    <row r="80">
      <c r="A80" s="7" t="inlineStr">
        <is>
          <t>TT-002</t>
        </is>
      </c>
      <c r="B80" s="24" t="inlineStr">
        <is>
          <t>Timetable</t>
        </is>
      </c>
      <c r="C80" s="9" t="inlineStr">
        <is>
          <t>Configure day (periods + breaks)</t>
        </is>
      </c>
      <c r="D80" s="9" t="inlineStr">
        <is>
          <t>Admin sets up school day</t>
        </is>
      </c>
      <c r="E80" s="9" t="inlineStr">
        <is>
          <t>First access</t>
        </is>
      </c>
      <c r="F80" s="9" t="inlineStr">
        <is>
          <t>1. /timetable/config
2. Add 6 periods + 1 break (with times)
3. Save</t>
        </is>
      </c>
      <c r="G80" s="9" t="inlineStr">
        <is>
          <t>Config saved. Reload shows same values.</t>
        </is>
      </c>
      <c r="H80" s="10" t="inlineStr">
        <is>
          <t>Critical</t>
        </is>
      </c>
      <c r="I80" s="9" t="inlineStr">
        <is>
          <t>Functional</t>
        </is>
      </c>
      <c r="J80" s="9" t="inlineStr">
        <is>
          <t>Not Run</t>
        </is>
      </c>
      <c r="K80" s="9" t="inlineStr"/>
      <c r="L80" s="9" t="inlineStr"/>
    </row>
    <row r="81">
      <c r="A81" s="7" t="inlineStr">
        <is>
          <t>TT-003</t>
        </is>
      </c>
      <c r="B81" s="24" t="inlineStr">
        <is>
          <t>Timetable</t>
        </is>
      </c>
      <c r="C81" s="9" t="inlineStr">
        <is>
          <t>Create timetable for class</t>
        </is>
      </c>
      <c r="D81" s="9" t="inlineStr">
        <is>
          <t>Admin creates a timetable</t>
        </is>
      </c>
      <c r="E81" s="9" t="inlineStr">
        <is>
          <t>Class has subjects assigned</t>
        </is>
      </c>
      <c r="F81" s="9" t="inlineStr">
        <is>
          <t>1. /timetable
2. New Timetable
3. Pick class + name
4. Create</t>
        </is>
      </c>
      <c r="G81" s="9" t="inlineStr">
        <is>
          <t>Redirected to grid view. Empty cells shown.</t>
        </is>
      </c>
      <c r="H81" s="10" t="inlineStr">
        <is>
          <t>Critical</t>
        </is>
      </c>
      <c r="I81" s="9" t="inlineStr">
        <is>
          <t>Smoke</t>
        </is>
      </c>
      <c r="J81" s="9" t="inlineStr">
        <is>
          <t>Not Run</t>
        </is>
      </c>
      <c r="K81" s="9" t="inlineStr"/>
      <c r="L81" s="9" t="inlineStr"/>
    </row>
    <row r="82">
      <c r="A82" s="7" t="inlineStr">
        <is>
          <t>TT-004</t>
        </is>
      </c>
      <c r="B82" s="24" t="inlineStr">
        <is>
          <t>Timetable</t>
        </is>
      </c>
      <c r="C82" s="9" t="inlineStr">
        <is>
          <t>Auto-generate draft</t>
        </is>
      </c>
      <c r="D82" s="9" t="inlineStr">
        <is>
          <t>Generator fills the grid</t>
        </is>
      </c>
      <c r="E82" s="9" t="inlineStr">
        <is>
          <t>Empty timetable with ≥3 subjects</t>
        </is>
      </c>
      <c r="F82" s="9" t="inlineStr">
        <is>
          <t>1. Click 'Auto-Generate Draft'
2. Leave hours blank
3. Generate</t>
        </is>
      </c>
      <c r="G82" s="9" t="inlineStr">
        <is>
          <t>All non-break cells filled. Subjects spread across days. Teachers assigned. Success toast.</t>
        </is>
      </c>
      <c r="H82" s="10" t="inlineStr">
        <is>
          <t>Critical</t>
        </is>
      </c>
      <c r="I82" s="9" t="inlineStr">
        <is>
          <t>Functional</t>
        </is>
      </c>
      <c r="J82" s="9" t="inlineStr">
        <is>
          <t>Not Run</t>
        </is>
      </c>
      <c r="K82" s="9" t="inlineStr"/>
      <c r="L82" s="9" t="inlineStr"/>
    </row>
    <row r="83">
      <c r="A83" s="7" t="inlineStr">
        <is>
          <t>TT-005</t>
        </is>
      </c>
      <c r="B83" s="24" t="inlineStr">
        <is>
          <t>Timetable</t>
        </is>
      </c>
      <c r="C83" s="9" t="inlineStr">
        <is>
          <t>Weekly hours override</t>
        </is>
      </c>
      <c r="D83" s="9" t="inlineStr">
        <is>
          <t>Generator respects custom counts</t>
        </is>
      </c>
      <c r="E83" s="9" t="inlineStr">
        <is>
          <t>Class with 3 subjects</t>
        </is>
      </c>
      <c r="F83" s="9" t="inlineStr">
        <is>
          <t>1. Generate with {Math: 10, English: 15} and third blank
2. Submit</t>
        </is>
      </c>
      <c r="G83" s="9" t="inlineStr">
        <is>
          <t>Math appears 10×, English 15×, third fills remaining slots (~15).</t>
        </is>
      </c>
      <c r="H83" s="11" t="inlineStr">
        <is>
          <t>High</t>
        </is>
      </c>
      <c r="I83" s="9" t="inlineStr">
        <is>
          <t>Functional</t>
        </is>
      </c>
      <c r="J83" s="9" t="inlineStr">
        <is>
          <t>Not Run</t>
        </is>
      </c>
      <c r="K83" s="9" t="inlineStr"/>
      <c r="L83" s="9" t="inlineStr"/>
    </row>
    <row r="84">
      <c r="A84" s="7" t="inlineStr">
        <is>
          <t>TT-006</t>
        </is>
      </c>
      <c r="B84" s="24" t="inlineStr">
        <is>
          <t>Timetable</t>
        </is>
      </c>
      <c r="C84" s="9" t="inlineStr">
        <is>
          <t>Manual cell edit</t>
        </is>
      </c>
      <c r="D84" s="9" t="inlineStr">
        <is>
          <t>Click cell to edit</t>
        </is>
      </c>
      <c r="E84" s="9" t="inlineStr">
        <is>
          <t>Generated timetable</t>
        </is>
      </c>
      <c r="F84" s="9" t="inlineStr">
        <is>
          <t>1. Click a cell
2. Change subject/teacher in modal
3. Save</t>
        </is>
      </c>
      <c r="G84" s="9" t="inlineStr">
        <is>
          <t>Cell updates. AJAX save toast. No page reload needed.</t>
        </is>
      </c>
      <c r="H84" s="11" t="inlineStr">
        <is>
          <t>High</t>
        </is>
      </c>
      <c r="I84" s="9" t="inlineStr">
        <is>
          <t>Functional</t>
        </is>
      </c>
      <c r="J84" s="9" t="inlineStr">
        <is>
          <t>Not Run</t>
        </is>
      </c>
      <c r="K84" s="9" t="inlineStr"/>
      <c r="L84" s="9" t="inlineStr"/>
    </row>
    <row r="85">
      <c r="A85" s="7" t="inlineStr">
        <is>
          <t>TT-007</t>
        </is>
      </c>
      <c r="B85" s="24" t="inlineStr">
        <is>
          <t>Timetable</t>
        </is>
      </c>
      <c r="C85" s="9" t="inlineStr">
        <is>
          <t>Clear cell</t>
        </is>
      </c>
      <c r="D85" s="9" t="inlineStr">
        <is>
          <t>Empty a cell</t>
        </is>
      </c>
      <c r="E85" s="9" t="inlineStr">
        <is>
          <t>Cell with a lesson</t>
        </is>
      </c>
      <c r="F85" s="9" t="inlineStr">
        <is>
          <t>1. Click cell
2. Clear Cell</t>
        </is>
      </c>
      <c r="G85" s="9" t="inlineStr">
        <is>
          <t>Cell empties. Shows '+ add' placeholder.</t>
        </is>
      </c>
      <c r="H85" s="12" t="inlineStr">
        <is>
          <t>Medium</t>
        </is>
      </c>
      <c r="I85" s="9" t="inlineStr">
        <is>
          <t>Functional</t>
        </is>
      </c>
      <c r="J85" s="9" t="inlineStr">
        <is>
          <t>Not Run</t>
        </is>
      </c>
      <c r="K85" s="9" t="inlineStr"/>
      <c r="L85" s="9" t="inlineStr"/>
    </row>
    <row r="86">
      <c r="A86" s="7" t="inlineStr">
        <is>
          <t>TT-008</t>
        </is>
      </c>
      <c r="B86" s="24" t="inlineStr">
        <is>
          <t>Timetable</t>
        </is>
      </c>
      <c r="C86" s="9" t="inlineStr">
        <is>
          <t>Skip breaks in generator</t>
        </is>
      </c>
      <c r="D86" s="9" t="inlineStr">
        <is>
          <t>Generator never places lessons on breaks</t>
        </is>
      </c>
      <c r="E86" s="9" t="inlineStr">
        <is>
          <t>Config with break at period 4</t>
        </is>
      </c>
      <c r="F86" s="9" t="inlineStr">
        <is>
          <t>1. Auto-generate</t>
        </is>
      </c>
      <c r="G86" s="9" t="inlineStr">
        <is>
          <t>Period 4 cells all show '—' (break). No lessons.</t>
        </is>
      </c>
      <c r="H86" s="11" t="inlineStr">
        <is>
          <t>High</t>
        </is>
      </c>
      <c r="I86" s="9" t="inlineStr">
        <is>
          <t>Functional</t>
        </is>
      </c>
      <c r="J86" s="9" t="inlineStr">
        <is>
          <t>Not Run</t>
        </is>
      </c>
      <c r="K86" s="9" t="inlineStr"/>
      <c r="L86" s="9" t="inlineStr"/>
    </row>
    <row r="87">
      <c r="A87" s="7" t="inlineStr">
        <is>
          <t>TT-009</t>
        </is>
      </c>
      <c r="B87" s="24" t="inlineStr">
        <is>
          <t>Timetable</t>
        </is>
      </c>
      <c r="C87" s="9" t="inlineStr">
        <is>
          <t>Conflict badge</t>
        </is>
      </c>
      <c r="D87" s="9" t="inlineStr">
        <is>
          <t>Teacher double-booked shows warning</t>
        </is>
      </c>
      <c r="E87" s="9" t="inlineStr">
        <is>
          <t>Same teacher assigned to 2 active timetables at same slot</t>
        </is>
      </c>
      <c r="F87" s="9" t="inlineStr">
        <is>
          <t>1. Create 2 timetables
2. Assign same teacher to MON/P1 in both</t>
        </is>
      </c>
      <c r="G87" s="9" t="inlineStr">
        <is>
          <t>Red outline + '⚠ Conflict' label on affected cell.</t>
        </is>
      </c>
      <c r="H87" s="11" t="inlineStr">
        <is>
          <t>High</t>
        </is>
      </c>
      <c r="I87" s="9" t="inlineStr">
        <is>
          <t>Functional</t>
        </is>
      </c>
      <c r="J87" s="9" t="inlineStr">
        <is>
          <t>Not Run</t>
        </is>
      </c>
      <c r="K87" s="9" t="inlineStr"/>
      <c r="L87" s="9" t="inlineStr"/>
    </row>
    <row r="88">
      <c r="A88" s="7" t="inlineStr">
        <is>
          <t>TT-010</t>
        </is>
      </c>
      <c r="B88" s="24" t="inlineStr">
        <is>
          <t>Timetable</t>
        </is>
      </c>
      <c r="C88" s="9" t="inlineStr">
        <is>
          <t>Teacher 'My Schedule' view</t>
        </is>
      </c>
      <c r="D88" s="9" t="inlineStr">
        <is>
          <t>Teacher sees only their lessons</t>
        </is>
      </c>
      <c r="E88" s="9" t="inlineStr">
        <is>
          <t>Teacher with generated timetable</t>
        </is>
      </c>
      <c r="F88" s="9" t="inlineStr">
        <is>
          <t>1. Log in as teacher
2. /timetable → redirects to /my-schedule</t>
        </is>
      </c>
      <c r="G88" s="9" t="inlineStr">
        <is>
          <t>Read-only grid with only lessons they teach. Correct class names.</t>
        </is>
      </c>
      <c r="H88" s="11" t="inlineStr">
        <is>
          <t>High</t>
        </is>
      </c>
      <c r="I88" s="9" t="inlineStr">
        <is>
          <t>Smoke</t>
        </is>
      </c>
      <c r="J88" s="9" t="inlineStr">
        <is>
          <t>Not Run</t>
        </is>
      </c>
      <c r="K88" s="9" t="inlineStr"/>
      <c r="L88" s="9" t="inlineStr"/>
    </row>
    <row r="89">
      <c r="A89" s="7" t="inlineStr">
        <is>
          <t>TT-011</t>
        </is>
      </c>
      <c r="B89" s="24" t="inlineStr">
        <is>
          <t>Timetable</t>
        </is>
      </c>
      <c r="C89" s="9" t="inlineStr">
        <is>
          <t>Parent child schedule view</t>
        </is>
      </c>
      <c r="D89" s="9" t="inlineStr">
        <is>
          <t>Parent sees child's class timetable</t>
        </is>
      </c>
      <c r="E89" s="9" t="inlineStr">
        <is>
          <t>Parent with 1 child in class with timetable</t>
        </is>
      </c>
      <c r="F89" s="9" t="inlineStr">
        <is>
          <t>1. Log in as parent
2. /timetable</t>
        </is>
      </c>
      <c r="G89" s="9" t="inlineStr">
        <is>
          <t>Auto-redirect to /timetable/child/{id}. Read-only grid shown.</t>
        </is>
      </c>
      <c r="H89" s="11" t="inlineStr">
        <is>
          <t>High</t>
        </is>
      </c>
      <c r="I89" s="9" t="inlineStr">
        <is>
          <t>Smoke</t>
        </is>
      </c>
      <c r="J89" s="9" t="inlineStr">
        <is>
          <t>Not Run</t>
        </is>
      </c>
      <c r="K89" s="9" t="inlineStr"/>
      <c r="L89" s="9" t="inlineStr"/>
    </row>
    <row r="90">
      <c r="A90" s="7" t="inlineStr">
        <is>
          <t>TT-012</t>
        </is>
      </c>
      <c r="B90" s="24" t="inlineStr">
        <is>
          <t>Timetable</t>
        </is>
      </c>
      <c r="C90" s="9" t="inlineStr">
        <is>
          <t>Parent with multiple children</t>
        </is>
      </c>
      <c r="D90" s="9" t="inlineStr">
        <is>
          <t>Parent can switch between children</t>
        </is>
      </c>
      <c r="E90" s="9" t="inlineStr">
        <is>
          <t>Parent with 2+ children</t>
        </is>
      </c>
      <c r="F90" s="9" t="inlineStr">
        <is>
          <t>1. /timetable/child/{first}
2. Use child picker</t>
        </is>
      </c>
      <c r="G90" s="9" t="inlineStr">
        <is>
          <t>Dropdown visible. Switch loads other child's timetable.</t>
        </is>
      </c>
      <c r="H90" s="12" t="inlineStr">
        <is>
          <t>Medium</t>
        </is>
      </c>
      <c r="I90" s="9" t="inlineStr">
        <is>
          <t>Functional</t>
        </is>
      </c>
      <c r="J90" s="9" t="inlineStr">
        <is>
          <t>Not Run</t>
        </is>
      </c>
      <c r="K90" s="9" t="inlineStr"/>
      <c r="L90" s="9" t="inlineStr"/>
    </row>
    <row r="91">
      <c r="A91" s="7" t="inlineStr">
        <is>
          <t>TT-013</t>
        </is>
      </c>
      <c r="B91" s="24" t="inlineStr">
        <is>
          <t>Timetable</t>
        </is>
      </c>
      <c r="C91" s="9" t="inlineStr">
        <is>
          <t>Print timetable</t>
        </is>
      </c>
      <c r="D91" s="9" t="inlineStr">
        <is>
          <t>Print button hides UI chrome</t>
        </is>
      </c>
      <c r="E91" s="9" t="inlineStr">
        <is>
          <t>Any timetable grid</t>
        </is>
      </c>
      <c r="F91" s="9" t="inlineStr">
        <is>
          <t>1. Click Print</t>
        </is>
      </c>
      <c r="G91" s="9" t="inlineStr">
        <is>
          <t>Browser print dialog. Nav/buttons hidden. Grid fits on page.</t>
        </is>
      </c>
      <c r="H91" s="12" t="inlineStr">
        <is>
          <t>Medium</t>
        </is>
      </c>
      <c r="I91" s="9" t="inlineStr">
        <is>
          <t>UI</t>
        </is>
      </c>
      <c r="J91" s="9" t="inlineStr">
        <is>
          <t>Not Run</t>
        </is>
      </c>
      <c r="K91" s="9" t="inlineStr"/>
      <c r="L91" s="9" t="inlineStr"/>
    </row>
    <row r="92">
      <c r="A92" s="7" t="inlineStr">
        <is>
          <t>TT-014</t>
        </is>
      </c>
      <c r="B92" s="24" t="inlineStr">
        <is>
          <t>Timetable</t>
        </is>
      </c>
      <c r="C92" s="9" t="inlineStr">
        <is>
          <t>Regenerate clears old entries</t>
        </is>
      </c>
      <c r="D92" s="9" t="inlineStr">
        <is>
          <t>Re-running generator doesn't duplicate</t>
        </is>
      </c>
      <c r="E92" s="9" t="inlineStr">
        <is>
          <t>Existing generated timetable</t>
        </is>
      </c>
      <c r="F92" s="9" t="inlineStr">
        <is>
          <t>1. Auto-Generate again</t>
        </is>
      </c>
      <c r="G92" s="9" t="inlineStr">
        <is>
          <t>Old entries cleared. New entries replace them. Count stays at max slots.</t>
        </is>
      </c>
      <c r="H92" s="11" t="inlineStr">
        <is>
          <t>High</t>
        </is>
      </c>
      <c r="I92" s="9" t="inlineStr">
        <is>
          <t>Functional</t>
        </is>
      </c>
      <c r="J92" s="9" t="inlineStr">
        <is>
          <t>Not Run</t>
        </is>
      </c>
      <c r="K92" s="9" t="inlineStr"/>
      <c r="L92" s="9" t="inlineStr"/>
    </row>
    <row r="93">
      <c r="A93" s="7" t="inlineStr">
        <is>
          <t>TT-015</t>
        </is>
      </c>
      <c r="B93" s="24" t="inlineStr">
        <is>
          <t>Timetable</t>
        </is>
      </c>
      <c r="C93" s="9" t="inlineStr">
        <is>
          <t>Tenant isolation</t>
        </is>
      </c>
      <c r="D93" s="9" t="inlineStr">
        <is>
          <t>Timetable cannot be accessed by other tenant</t>
        </is>
      </c>
      <c r="E93" s="9" t="inlineStr">
        <is>
          <t>Two tenants</t>
        </is>
      </c>
      <c r="F93" s="9" t="inlineStr">
        <is>
          <t>1. Log in as Tenant A
2. Try GET /api/v1/timetable/timetables/{tenantB_id}</t>
        </is>
      </c>
      <c r="G93" s="9" t="inlineStr">
        <is>
          <t>404 Not Found. No data leak.</t>
        </is>
      </c>
      <c r="H93" s="10" t="inlineStr">
        <is>
          <t>Critical</t>
        </is>
      </c>
      <c r="I93" s="9" t="inlineStr">
        <is>
          <t>Security</t>
        </is>
      </c>
      <c r="J93" s="9" t="inlineStr">
        <is>
          <t>Not Run</t>
        </is>
      </c>
      <c r="K93" s="9" t="inlineStr"/>
      <c r="L93" s="9" t="inlineStr"/>
    </row>
    <row r="94">
      <c r="A94" s="7" t="inlineStr">
        <is>
          <t>BIL-001</t>
        </is>
      </c>
      <c r="B94" s="17" t="inlineStr">
        <is>
          <t>Billing</t>
        </is>
      </c>
      <c r="C94" s="9" t="inlineStr">
        <is>
          <t>Create fee item</t>
        </is>
      </c>
      <c r="D94" s="9" t="inlineStr">
        <is>
          <t>Admin adds a recurring fee</t>
        </is>
      </c>
      <c r="E94" s="9" t="inlineStr">
        <is>
          <t>Billing enabled</t>
        </is>
      </c>
      <c r="F94" s="9" t="inlineStr">
        <is>
          <t>1. /billing/fee-items
2. New
3. Name + amount + frequency (MONTHLY)
4. Save</t>
        </is>
      </c>
      <c r="G94" s="9" t="inlineStr">
        <is>
          <t>Fee item appears. Can be used for invoice generation.</t>
        </is>
      </c>
      <c r="H94" s="11" t="inlineStr">
        <is>
          <t>High</t>
        </is>
      </c>
      <c r="I94" s="9" t="inlineStr">
        <is>
          <t>Functional</t>
        </is>
      </c>
      <c r="J94" s="9" t="inlineStr">
        <is>
          <t>Not Run</t>
        </is>
      </c>
      <c r="K94" s="9" t="inlineStr"/>
      <c r="L94" s="9" t="inlineStr"/>
    </row>
    <row r="95">
      <c r="A95" s="7" t="inlineStr">
        <is>
          <t>BIL-002</t>
        </is>
      </c>
      <c r="B95" s="17" t="inlineStr">
        <is>
          <t>Billing</t>
        </is>
      </c>
      <c r="C95" s="9" t="inlineStr">
        <is>
          <t>Generate invoices in bulk</t>
        </is>
      </c>
      <c r="D95" s="9" t="inlineStr">
        <is>
          <t>Create invoices for all students</t>
        </is>
      </c>
      <c r="E95" s="9" t="inlineStr">
        <is>
          <t>Fee items + students</t>
        </is>
      </c>
      <c r="F95" s="9" t="inlineStr">
        <is>
          <t>1. /billing/invoices/generate
2. Pick items + period
3. Generate</t>
        </is>
      </c>
      <c r="G95" s="9" t="inlineStr">
        <is>
          <t>Invoices created per student. Numbered INV-YYYY-NNNN.</t>
        </is>
      </c>
      <c r="H95" s="10" t="inlineStr">
        <is>
          <t>Critical</t>
        </is>
      </c>
      <c r="I95" s="9" t="inlineStr">
        <is>
          <t>Functional</t>
        </is>
      </c>
      <c r="J95" s="9" t="inlineStr">
        <is>
          <t>Not Run</t>
        </is>
      </c>
      <c r="K95" s="9" t="inlineStr"/>
      <c r="L95" s="9" t="inlineStr"/>
    </row>
    <row r="96">
      <c r="A96" s="7" t="inlineStr">
        <is>
          <t>BIL-003</t>
        </is>
      </c>
      <c r="B96" s="17" t="inlineStr">
        <is>
          <t>Billing</t>
        </is>
      </c>
      <c r="C96" s="9" t="inlineStr">
        <is>
          <t>Send invoice email</t>
        </is>
      </c>
      <c r="D96" s="9" t="inlineStr">
        <is>
          <t>Email invoice to parent</t>
        </is>
      </c>
      <c r="E96" s="9" t="inlineStr">
        <is>
          <t>DRAFT invoice exists</t>
        </is>
      </c>
      <c r="F96" s="9" t="inlineStr">
        <is>
          <t>1. Open invoice
2. Send</t>
        </is>
      </c>
      <c r="G96" s="9" t="inlineStr">
        <is>
          <t>Status SENT. Email with PDF attachment received by parent.</t>
        </is>
      </c>
      <c r="H96" s="11" t="inlineStr">
        <is>
          <t>High</t>
        </is>
      </c>
      <c r="I96" s="9" t="inlineStr">
        <is>
          <t>Functional</t>
        </is>
      </c>
      <c r="J96" s="9" t="inlineStr">
        <is>
          <t>Not Run</t>
        </is>
      </c>
      <c r="K96" s="9" t="inlineStr"/>
      <c r="L96" s="9" t="inlineStr"/>
    </row>
    <row r="97">
      <c r="A97" s="7" t="inlineStr">
        <is>
          <t>BIL-004</t>
        </is>
      </c>
      <c r="B97" s="17" t="inlineStr">
        <is>
          <t>Billing</t>
        </is>
      </c>
      <c r="C97" s="9" t="inlineStr">
        <is>
          <t>Record payment</t>
        </is>
      </c>
      <c r="D97" s="9" t="inlineStr">
        <is>
          <t>Record parent payment</t>
        </is>
      </c>
      <c r="E97" s="9" t="inlineStr">
        <is>
          <t>Sent invoice</t>
        </is>
      </c>
      <c r="F97" s="9" t="inlineStr">
        <is>
          <t>1. Open invoice
2. Record Payment
3. Amount, method, date
4. Save</t>
        </is>
      </c>
      <c r="G97" s="9" t="inlineStr">
        <is>
          <t>Balance reduced. Status updates (PARTIALLY_PAID / PAID).</t>
        </is>
      </c>
      <c r="H97" s="10" t="inlineStr">
        <is>
          <t>Critical</t>
        </is>
      </c>
      <c r="I97" s="9" t="inlineStr">
        <is>
          <t>Functional</t>
        </is>
      </c>
      <c r="J97" s="9" t="inlineStr">
        <is>
          <t>Not Run</t>
        </is>
      </c>
      <c r="K97" s="9" t="inlineStr"/>
      <c r="L97" s="9" t="inlineStr"/>
    </row>
    <row r="98">
      <c r="A98" s="7" t="inlineStr">
        <is>
          <t>BIL-005</t>
        </is>
      </c>
      <c r="B98" s="17" t="inlineStr">
        <is>
          <t>Billing</t>
        </is>
      </c>
      <c r="C98" s="9" t="inlineStr">
        <is>
          <t>Overpayment</t>
        </is>
      </c>
      <c r="D98" s="9" t="inlineStr">
        <is>
          <t>Payment &gt; balance rejected or flagged</t>
        </is>
      </c>
      <c r="E98" s="9" t="inlineStr">
        <is>
          <t>Invoice with R100 balance</t>
        </is>
      </c>
      <c r="F98" s="9" t="inlineStr">
        <is>
          <t>1. Record R200 payment</t>
        </is>
      </c>
      <c r="G98" s="9" t="inlineStr">
        <is>
          <t>Warning shown or amount capped at balance.</t>
        </is>
      </c>
      <c r="H98" s="12" t="inlineStr">
        <is>
          <t>Medium</t>
        </is>
      </c>
      <c r="I98" s="9" t="inlineStr">
        <is>
          <t>Negative</t>
        </is>
      </c>
      <c r="J98" s="9" t="inlineStr">
        <is>
          <t>Not Run</t>
        </is>
      </c>
      <c r="K98" s="9" t="inlineStr"/>
      <c r="L98" s="9" t="inlineStr"/>
    </row>
    <row r="99">
      <c r="A99" s="7" t="inlineStr">
        <is>
          <t>BIL-006</t>
        </is>
      </c>
      <c r="B99" s="17" t="inlineStr">
        <is>
          <t>Billing</t>
        </is>
      </c>
      <c r="C99" s="9" t="inlineStr">
        <is>
          <t>Overdue detection</t>
        </is>
      </c>
      <c r="D99" s="9" t="inlineStr">
        <is>
          <t>Invoices past due date marked OVERDUE</t>
        </is>
      </c>
      <c r="E99" s="9" t="inlineStr">
        <is>
          <t>Invoice with past due_date, status SENT</t>
        </is>
      </c>
      <c r="F99" s="9" t="inlineStr">
        <is>
          <t>1. Visit /billing dashboard</t>
        </is>
      </c>
      <c r="G99" s="9" t="inlineStr">
        <is>
          <t>Status changes to OVERDUE. Parent notified.</t>
        </is>
      </c>
      <c r="H99" s="11" t="inlineStr">
        <is>
          <t>High</t>
        </is>
      </c>
      <c r="I99" s="9" t="inlineStr">
        <is>
          <t>Functional</t>
        </is>
      </c>
      <c r="J99" s="9" t="inlineStr">
        <is>
          <t>Not Run</t>
        </is>
      </c>
      <c r="K99" s="9" t="inlineStr"/>
      <c r="L99" s="9" t="inlineStr"/>
    </row>
    <row r="100">
      <c r="A100" s="7" t="inlineStr">
        <is>
          <t>BIL-007</t>
        </is>
      </c>
      <c r="B100" s="17" t="inlineStr">
        <is>
          <t>Billing</t>
        </is>
      </c>
      <c r="C100" s="9" t="inlineStr">
        <is>
          <t>Arrears / ageing report</t>
        </is>
      </c>
      <c r="D100" s="9" t="inlineStr">
        <is>
          <t>View outstanding balances</t>
        </is>
      </c>
      <c r="E100" s="9" t="inlineStr">
        <is>
          <t>Unpaid invoices</t>
        </is>
      </c>
      <c r="F100" s="9" t="inlineStr">
        <is>
          <t>1. /billing/arrears</t>
        </is>
      </c>
      <c r="G100" s="9" t="inlineStr">
        <is>
          <t>Per-student table with Total Due, Paid, Outstanding, Current/30/60/90+ buckets.</t>
        </is>
      </c>
      <c r="H100" s="11" t="inlineStr">
        <is>
          <t>High</t>
        </is>
      </c>
      <c r="I100" s="9" t="inlineStr">
        <is>
          <t>Functional</t>
        </is>
      </c>
      <c r="J100" s="9" t="inlineStr">
        <is>
          <t>Not Run</t>
        </is>
      </c>
      <c r="K100" s="9" t="inlineStr"/>
      <c r="L100" s="9" t="inlineStr"/>
    </row>
    <row r="101">
      <c r="A101" s="7" t="inlineStr">
        <is>
          <t>BIL-008</t>
        </is>
      </c>
      <c r="B101" s="17" t="inlineStr">
        <is>
          <t>Billing</t>
        </is>
      </c>
      <c r="C101" s="9" t="inlineStr">
        <is>
          <t>Arrears filter by class</t>
        </is>
      </c>
      <c r="D101" s="9" t="inlineStr">
        <is>
          <t>Filter arrears to one class</t>
        </is>
      </c>
      <c r="E101" s="9" t="inlineStr">
        <is>
          <t>Multiple classes with debts</t>
        </is>
      </c>
      <c r="F101" s="9" t="inlineStr">
        <is>
          <t>1. /billing/arrears
2. Select class dropdown</t>
        </is>
      </c>
      <c r="G101" s="9" t="inlineStr">
        <is>
          <t>Only students in chosen class shown. Totals recalculate.</t>
        </is>
      </c>
      <c r="H101" s="12" t="inlineStr">
        <is>
          <t>Medium</t>
        </is>
      </c>
      <c r="I101" s="9" t="inlineStr">
        <is>
          <t>Functional</t>
        </is>
      </c>
      <c r="J101" s="9" t="inlineStr">
        <is>
          <t>Not Run</t>
        </is>
      </c>
      <c r="K101" s="9" t="inlineStr"/>
      <c r="L101" s="9" t="inlineStr"/>
    </row>
    <row r="102">
      <c r="A102" s="7" t="inlineStr">
        <is>
          <t>BIL-009</t>
        </is>
      </c>
      <c r="B102" s="17" t="inlineStr">
        <is>
          <t>Billing</t>
        </is>
      </c>
      <c r="C102" s="9" t="inlineStr">
        <is>
          <t>Arrears CSV export</t>
        </is>
      </c>
      <c r="D102" s="9" t="inlineStr">
        <is>
          <t>Export arrears report</t>
        </is>
      </c>
      <c r="E102" s="9" t="inlineStr">
        <is>
          <t>Data exists</t>
        </is>
      </c>
      <c r="F102" s="9" t="inlineStr">
        <is>
          <t>1. /billing/arrears
2. Export CSV</t>
        </is>
      </c>
      <c r="G102" s="9" t="inlineStr">
        <is>
          <t>CSV downloads with all columns.</t>
        </is>
      </c>
      <c r="H102" s="12" t="inlineStr">
        <is>
          <t>Medium</t>
        </is>
      </c>
      <c r="I102" s="9" t="inlineStr">
        <is>
          <t>Functional</t>
        </is>
      </c>
      <c r="J102" s="9" t="inlineStr">
        <is>
          <t>Not Run</t>
        </is>
      </c>
      <c r="K102" s="9" t="inlineStr"/>
      <c r="L102" s="9" t="inlineStr"/>
    </row>
    <row r="103">
      <c r="A103" s="7" t="inlineStr">
        <is>
          <t>BIL-010</t>
        </is>
      </c>
      <c r="B103" s="17" t="inlineStr">
        <is>
          <t>Billing</t>
        </is>
      </c>
      <c r="C103" s="9" t="inlineStr">
        <is>
          <t>Parent views own statement</t>
        </is>
      </c>
      <c r="D103" s="9" t="inlineStr">
        <is>
          <t>Parent sees invoices + balance for children</t>
        </is>
      </c>
      <c r="E103" s="9" t="inlineStr">
        <is>
          <t>Parent with invoiced child</t>
        </is>
      </c>
      <c r="F103" s="9" t="inlineStr">
        <is>
          <t>1. Log in as parent
2. /billing</t>
        </is>
      </c>
      <c r="G103" s="9" t="inlineStr">
        <is>
          <t>Statement with invoices, payments, balance. Cannot see other families.</t>
        </is>
      </c>
      <c r="H103" s="10" t="inlineStr">
        <is>
          <t>Critical</t>
        </is>
      </c>
      <c r="I103" s="9" t="inlineStr">
        <is>
          <t>Security</t>
        </is>
      </c>
      <c r="J103" s="9" t="inlineStr">
        <is>
          <t>Not Run</t>
        </is>
      </c>
      <c r="K103" s="9" t="inlineStr"/>
      <c r="L103" s="9" t="inlineStr"/>
    </row>
    <row r="104">
      <c r="A104" s="7" t="inlineStr">
        <is>
          <t>BIL-011</t>
        </is>
      </c>
      <c r="B104" s="17" t="inlineStr">
        <is>
          <t>Billing</t>
        </is>
      </c>
      <c r="C104" s="9" t="inlineStr">
        <is>
          <t>Currency display</t>
        </is>
      </c>
      <c r="D104" s="9" t="inlineStr">
        <is>
          <t>Uses tenant's configured currency</t>
        </is>
      </c>
      <c r="E104" s="9" t="inlineStr">
        <is>
          <t>Currency set to ZAR</t>
        </is>
      </c>
      <c r="F104" s="9" t="inlineStr">
        <is>
          <t>1. View any billing page</t>
        </is>
      </c>
      <c r="G104" s="9" t="inlineStr">
        <is>
          <t>Amounts prefixed with ZAR.</t>
        </is>
      </c>
      <c r="H104" s="15" t="inlineStr">
        <is>
          <t>Low</t>
        </is>
      </c>
      <c r="I104" s="9" t="inlineStr">
        <is>
          <t>UI</t>
        </is>
      </c>
      <c r="J104" s="9" t="inlineStr">
        <is>
          <t>Not Run</t>
        </is>
      </c>
      <c r="K104" s="9" t="inlineStr"/>
      <c r="L104" s="9" t="inlineStr"/>
    </row>
    <row r="105">
      <c r="A105" s="7" t="inlineStr">
        <is>
          <t>BIL-012</t>
        </is>
      </c>
      <c r="B105" s="17" t="inlineStr">
        <is>
          <t>Billing</t>
        </is>
      </c>
      <c r="C105" s="9" t="inlineStr">
        <is>
          <t>Cancel invoice</t>
        </is>
      </c>
      <c r="D105" s="9" t="inlineStr">
        <is>
          <t>Mark invoice CANCELLED</t>
        </is>
      </c>
      <c r="E105" s="9" t="inlineStr">
        <is>
          <t>DRAFT/SENT invoice</t>
        </is>
      </c>
      <c r="F105" s="9" t="inlineStr">
        <is>
          <t>1. Open invoice
2. Cancel</t>
        </is>
      </c>
      <c r="G105" s="9" t="inlineStr">
        <is>
          <t>Status CANCELLED. Excluded from outstanding totals.</t>
        </is>
      </c>
      <c r="H105" s="12" t="inlineStr">
        <is>
          <t>Medium</t>
        </is>
      </c>
      <c r="I105" s="9" t="inlineStr">
        <is>
          <t>Functional</t>
        </is>
      </c>
      <c r="J105" s="9" t="inlineStr">
        <is>
          <t>Not Run</t>
        </is>
      </c>
      <c r="K105" s="9" t="inlineStr"/>
      <c r="L105" s="9" t="inlineStr"/>
    </row>
    <row r="106">
      <c r="A106" s="7" t="inlineStr">
        <is>
          <t>SUB-001</t>
        </is>
      </c>
      <c r="B106" s="13" t="inlineStr">
        <is>
          <t>Subscriptions</t>
        </is>
      </c>
      <c r="C106" s="9" t="inlineStr">
        <is>
          <t>Super admin creates plan</t>
        </is>
      </c>
      <c r="D106" s="9" t="inlineStr">
        <is>
          <t>Create new subscription plan</t>
        </is>
      </c>
      <c r="E106" s="9" t="inlineStr">
        <is>
          <t>Logged in as super admin</t>
        </is>
      </c>
      <c r="F106" s="9" t="inlineStr">
        <is>
          <t>1. /admin/subscriptions
2. Create Plan
3. Fill + toggle features
4. Save</t>
        </is>
      </c>
      <c r="G106" s="9" t="inlineStr">
        <is>
          <t>Plan appears in list. Description auto-generated from features.</t>
        </is>
      </c>
      <c r="H106" s="11" t="inlineStr">
        <is>
          <t>High</t>
        </is>
      </c>
      <c r="I106" s="9" t="inlineStr">
        <is>
          <t>Functional</t>
        </is>
      </c>
      <c r="J106" s="9" t="inlineStr">
        <is>
          <t>Not Run</t>
        </is>
      </c>
      <c r="K106" s="9" t="inlineStr"/>
      <c r="L106" s="9" t="inlineStr"/>
    </row>
    <row r="107">
      <c r="A107" s="7" t="inlineStr">
        <is>
          <t>SUB-002</t>
        </is>
      </c>
      <c r="B107" s="13" t="inlineStr">
        <is>
          <t>Subscriptions</t>
        </is>
      </c>
      <c r="C107" s="9" t="inlineStr">
        <is>
          <t>Edit plan features</t>
        </is>
      </c>
      <c r="D107" s="9" t="inlineStr">
        <is>
          <t>Toggling features updates description</t>
        </is>
      </c>
      <c r="E107" s="9" t="inlineStr">
        <is>
          <t>Plan exists</t>
        </is>
      </c>
      <c r="F107" s="9" t="inlineStr">
        <is>
          <t>1. Edit plan
2. Toggle feature checkboxes
3. Save</t>
        </is>
      </c>
      <c r="G107" s="9" t="inlineStr">
        <is>
          <t>Description updates. Plan-locked features sync to tenants on activation.</t>
        </is>
      </c>
      <c r="H107" s="11" t="inlineStr">
        <is>
          <t>High</t>
        </is>
      </c>
      <c r="I107" s="9" t="inlineStr">
        <is>
          <t>Functional</t>
        </is>
      </c>
      <c r="J107" s="9" t="inlineStr">
        <is>
          <t>Not Run</t>
        </is>
      </c>
      <c r="K107" s="9" t="inlineStr"/>
      <c r="L107" s="9" t="inlineStr"/>
    </row>
    <row r="108">
      <c r="A108" s="7" t="inlineStr">
        <is>
          <t>SUB-003</t>
        </is>
      </c>
      <c r="B108" s="13" t="inlineStr">
        <is>
          <t>Subscriptions</t>
        </is>
      </c>
      <c r="C108" s="9" t="inlineStr">
        <is>
          <t>Tenant selects plan</t>
        </is>
      </c>
      <c r="D108" s="9" t="inlineStr">
        <is>
          <t>School admin switches plan</t>
        </is>
      </c>
      <c r="E108" s="9" t="inlineStr">
        <is>
          <t>Plans available</t>
        </is>
      </c>
      <c r="F108" s="9" t="inlineStr">
        <is>
          <t>1. Log in as school admin
2. /subscription
3. Select plan</t>
        </is>
      </c>
      <c r="G108" s="9" t="inlineStr">
        <is>
          <t>Plan active. Features enabled/disabled per plan. Confirmation shown.</t>
        </is>
      </c>
      <c r="H108" s="11" t="inlineStr">
        <is>
          <t>High</t>
        </is>
      </c>
      <c r="I108" s="9" t="inlineStr">
        <is>
          <t>Functional</t>
        </is>
      </c>
      <c r="J108" s="9" t="inlineStr">
        <is>
          <t>Not Run</t>
        </is>
      </c>
      <c r="K108" s="9" t="inlineStr"/>
      <c r="L108" s="9" t="inlineStr"/>
    </row>
    <row r="109">
      <c r="A109" s="7" t="inlineStr">
        <is>
          <t>SUB-004</t>
        </is>
      </c>
      <c r="B109" s="13" t="inlineStr">
        <is>
          <t>Subscriptions</t>
        </is>
      </c>
      <c r="C109" s="9" t="inlineStr">
        <is>
          <t>Legacy tenant auto-trial</t>
        </is>
      </c>
      <c r="D109" s="9" t="inlineStr">
        <is>
          <t>Old tenants auto-enrolled in free trial</t>
        </is>
      </c>
      <c r="E109" s="9" t="inlineStr">
        <is>
          <t>Tenant with no subscription record</t>
        </is>
      </c>
      <c r="F109" s="9" t="inlineStr">
        <is>
          <t>1. Log in</t>
        </is>
      </c>
      <c r="G109" s="9" t="inlineStr">
        <is>
          <t>Trial auto-started. Banner shows remaining days. No forced upgrade.</t>
        </is>
      </c>
      <c r="H109" s="11" t="inlineStr">
        <is>
          <t>High</t>
        </is>
      </c>
      <c r="I109" s="9" t="inlineStr">
        <is>
          <t>Functional</t>
        </is>
      </c>
      <c r="J109" s="9" t="inlineStr">
        <is>
          <t>Not Run</t>
        </is>
      </c>
      <c r="K109" s="9" t="inlineStr"/>
      <c r="L109" s="9" t="inlineStr"/>
    </row>
    <row r="110">
      <c r="A110" s="7" t="inlineStr">
        <is>
          <t>SUB-005</t>
        </is>
      </c>
      <c r="B110" s="13" t="inlineStr">
        <is>
          <t>Subscriptions</t>
        </is>
      </c>
      <c r="C110" s="9" t="inlineStr">
        <is>
          <t>Extend trial (super admin)</t>
        </is>
      </c>
      <c r="D110" s="9" t="inlineStr">
        <is>
          <t>Super admin extends a trial</t>
        </is>
      </c>
      <c r="E110" s="9" t="inlineStr">
        <is>
          <t>Trialing subscription exists</t>
        </is>
      </c>
      <c r="F110" s="9" t="inlineStr">
        <is>
          <t>1. /admin/subscriptions
2. Extend button
3. Pick days (7/14/30/90)
4. Submit</t>
        </is>
      </c>
      <c r="G110" s="9" t="inlineStr">
        <is>
          <t>Trial end date extended by N days. Subscription now TRIALING if was suspended.</t>
        </is>
      </c>
      <c r="H110" s="11" t="inlineStr">
        <is>
          <t>High</t>
        </is>
      </c>
      <c r="I110" s="9" t="inlineStr">
        <is>
          <t>Functional</t>
        </is>
      </c>
      <c r="J110" s="9" t="inlineStr">
        <is>
          <t>Not Run</t>
        </is>
      </c>
      <c r="K110" s="9" t="inlineStr"/>
      <c r="L110" s="9" t="inlineStr"/>
    </row>
    <row r="111">
      <c r="A111" s="7" t="inlineStr">
        <is>
          <t>SUB-006</t>
        </is>
      </c>
      <c r="B111" s="13" t="inlineStr">
        <is>
          <t>Subscriptions</t>
        </is>
      </c>
      <c r="C111" s="9" t="inlineStr">
        <is>
          <t>Paystack payment flow</t>
        </is>
      </c>
      <c r="D111" s="9" t="inlineStr">
        <is>
          <t>Start payment via Paystack</t>
        </is>
      </c>
      <c r="E111" s="9" t="inlineStr">
        <is>
          <t>Plan selected</t>
        </is>
      </c>
      <c r="F111" s="9" t="inlineStr">
        <is>
          <t>1. /subscription
2. Initialize Payment
3. Complete on Paystack</t>
        </is>
      </c>
      <c r="G111" s="9" t="inlineStr">
        <is>
          <t>Webhook receives charge.success. Subscription ACTIVE.</t>
        </is>
      </c>
      <c r="H111" s="11" t="inlineStr">
        <is>
          <t>High</t>
        </is>
      </c>
      <c r="I111" s="9" t="inlineStr">
        <is>
          <t>Functional</t>
        </is>
      </c>
      <c r="J111" s="9" t="inlineStr">
        <is>
          <t>Not Run</t>
        </is>
      </c>
      <c r="K111" s="9" t="inlineStr"/>
      <c r="L111" s="9" t="inlineStr"/>
    </row>
    <row r="112">
      <c r="A112" s="7" t="inlineStr">
        <is>
          <t>SUB-007</t>
        </is>
      </c>
      <c r="B112" s="13" t="inlineStr">
        <is>
          <t>Subscriptions</t>
        </is>
      </c>
      <c r="C112" s="9" t="inlineStr">
        <is>
          <t>Plan activation syncs features</t>
        </is>
      </c>
      <c r="D112" s="9" t="inlineStr">
        <is>
          <t>Activating a plan auto-enables/disables its features on the tenant</t>
        </is>
      </c>
      <c r="E112" s="9" t="inlineStr">
        <is>
          <t>Plan with features {billing: true, whatsapp: false}</t>
        </is>
      </c>
      <c r="F112" s="9" t="inlineStr">
        <is>
          <t>1. As tenant admin, select that plan
2. Go to Settings &gt; Features</t>
        </is>
      </c>
      <c r="G112" s="9" t="inlineStr">
        <is>
          <t>Billing toggle is ON and locked. WhatsApp is OFF and locked. Labels say 'Plan-managed'.</t>
        </is>
      </c>
      <c r="H112" s="10" t="inlineStr">
        <is>
          <t>Critical</t>
        </is>
      </c>
      <c r="I112" s="9" t="inlineStr">
        <is>
          <t>Functional</t>
        </is>
      </c>
      <c r="J112" s="9" t="inlineStr">
        <is>
          <t>Not Run</t>
        </is>
      </c>
      <c r="K112" s="9" t="inlineStr"/>
      <c r="L112" s="9" t="inlineStr"/>
    </row>
    <row r="113">
      <c r="A113" s="7" t="inlineStr">
        <is>
          <t>SUB-008</t>
        </is>
      </c>
      <c r="B113" s="13" t="inlineStr">
        <is>
          <t>Subscriptions</t>
        </is>
      </c>
      <c r="C113" s="9" t="inlineStr">
        <is>
          <t>Delete plan</t>
        </is>
      </c>
      <c r="D113" s="9" t="inlineStr">
        <is>
          <t>Super admin can delete a plan</t>
        </is>
      </c>
      <c r="E113" s="9" t="inlineStr">
        <is>
          <t>Plan exists with no active subscribers</t>
        </is>
      </c>
      <c r="F113" s="9" t="inlineStr">
        <is>
          <t>1. /admin/subscriptions
2. Edit plan
3. Delete
4. Confirm</t>
        </is>
      </c>
      <c r="G113" s="9" t="inlineStr">
        <is>
          <t>Plan removed from list. Cannot delete if any tenant is actively subscribed.</t>
        </is>
      </c>
      <c r="H113" s="12" t="inlineStr">
        <is>
          <t>Medium</t>
        </is>
      </c>
      <c r="I113" s="9" t="inlineStr">
        <is>
          <t>Functional</t>
        </is>
      </c>
      <c r="J113" s="9" t="inlineStr">
        <is>
          <t>Not Run</t>
        </is>
      </c>
      <c r="K113" s="9" t="inlineStr"/>
      <c r="L113" s="9" t="inlineStr"/>
    </row>
    <row r="114">
      <c r="A114" s="7" t="inlineStr">
        <is>
          <t>SUB-009</t>
        </is>
      </c>
      <c r="B114" s="13" t="inlineStr">
        <is>
          <t>Subscriptions</t>
        </is>
      </c>
      <c r="C114" s="9" t="inlineStr">
        <is>
          <t>Switch plans keeps billing cycle</t>
        </is>
      </c>
      <c r="D114" s="9" t="inlineStr">
        <is>
          <t>Active tenant switches plan mid-cycle</t>
        </is>
      </c>
      <c r="E114" s="9" t="inlineStr">
        <is>
          <t>Tenant on active plan A</t>
        </is>
      </c>
      <c r="F114" s="9" t="inlineStr">
        <is>
          <t>1. As school admin, go to /subscription
2. Switch to plan B
3. Confirm</t>
        </is>
      </c>
      <c r="G114" s="9" t="inlineStr">
        <is>
          <t>Features update to plan B immediately. Current period end date preserved.</t>
        </is>
      </c>
      <c r="H114" s="11" t="inlineStr">
        <is>
          <t>High</t>
        </is>
      </c>
      <c r="I114" s="9" t="inlineStr">
        <is>
          <t>Functional</t>
        </is>
      </c>
      <c r="J114" s="9" t="inlineStr">
        <is>
          <t>Not Run</t>
        </is>
      </c>
      <c r="K114" s="9" t="inlineStr"/>
      <c r="L114" s="9" t="inlineStr"/>
    </row>
    <row r="115">
      <c r="A115" s="7" t="inlineStr">
        <is>
          <t>SUB-010</t>
        </is>
      </c>
      <c r="B115" s="13" t="inlineStr">
        <is>
          <t>Subscriptions</t>
        </is>
      </c>
      <c r="C115" s="9" t="inlineStr">
        <is>
          <t>Trial banner on dashboard</t>
        </is>
      </c>
      <c r="D115" s="9" t="inlineStr">
        <is>
          <t>Trial countdown shown</t>
        </is>
      </c>
      <c r="E115" s="9" t="inlineStr">
        <is>
          <t>Tenant in TRIALING status</t>
        </is>
      </c>
      <c r="F115" s="9" t="inlineStr">
        <is>
          <t>1. Log in as school admin
2. View dashboard</t>
        </is>
      </c>
      <c r="G115" s="9" t="inlineStr">
        <is>
          <t>Purple banner shows 'X days left in trial' with 'View Plans' and 'Add Payment' buttons.</t>
        </is>
      </c>
      <c r="H115" s="11" t="inlineStr">
        <is>
          <t>High</t>
        </is>
      </c>
      <c r="I115" s="9" t="inlineStr">
        <is>
          <t>UI</t>
        </is>
      </c>
      <c r="J115" s="9" t="inlineStr">
        <is>
          <t>Not Run</t>
        </is>
      </c>
      <c r="K115" s="9" t="inlineStr"/>
      <c r="L115" s="9" t="inlineStr"/>
    </row>
    <row r="116">
      <c r="A116" s="7" t="inlineStr">
        <is>
          <t>SUB-011</t>
        </is>
      </c>
      <c r="B116" s="13" t="inlineStr">
        <is>
          <t>Subscriptions</t>
        </is>
      </c>
      <c r="C116" s="9" t="inlineStr">
        <is>
          <t>Past due banner</t>
        </is>
      </c>
      <c r="D116" s="9" t="inlineStr">
        <is>
          <t>Past-due warning shown</t>
        </is>
      </c>
      <c r="E116" s="9" t="inlineStr">
        <is>
          <t>Subscription in PAST_DUE status</t>
        </is>
      </c>
      <c r="F116" s="9" t="inlineStr">
        <is>
          <t>1. Log in</t>
        </is>
      </c>
      <c r="G116" s="9" t="inlineStr">
        <is>
          <t>Yellow banner on dashboard urging payment.</t>
        </is>
      </c>
      <c r="H116" s="11" t="inlineStr">
        <is>
          <t>High</t>
        </is>
      </c>
      <c r="I116" s="9" t="inlineStr">
        <is>
          <t>UI</t>
        </is>
      </c>
      <c r="J116" s="9" t="inlineStr">
        <is>
          <t>Not Run</t>
        </is>
      </c>
      <c r="K116" s="9" t="inlineStr"/>
      <c r="L116" s="9" t="inlineStr"/>
    </row>
    <row r="117">
      <c r="A117" s="7" t="inlineStr">
        <is>
          <t>SUB-012</t>
        </is>
      </c>
      <c r="B117" s="13" t="inlineStr">
        <is>
          <t>Subscriptions</t>
        </is>
      </c>
      <c r="C117" s="9" t="inlineStr">
        <is>
          <t>Suspended → reactivate</t>
        </is>
      </c>
      <c r="D117" s="9" t="inlineStr">
        <is>
          <t>Suspended tenant can reactivate</t>
        </is>
      </c>
      <c r="E117" s="9" t="inlineStr">
        <is>
          <t>Tenant in SUSPENDED status</t>
        </is>
      </c>
      <c r="F117" s="9" t="inlineStr">
        <is>
          <t>1. Log in as school admin
2. Click 'Reactivate' on red banner
3. Select plan / pay</t>
        </is>
      </c>
      <c r="G117" s="9" t="inlineStr">
        <is>
          <t>Subscription restored. App access unblocked.</t>
        </is>
      </c>
      <c r="H117" s="10" t="inlineStr">
        <is>
          <t>Critical</t>
        </is>
      </c>
      <c r="I117" s="9" t="inlineStr">
        <is>
          <t>Functional</t>
        </is>
      </c>
      <c r="J117" s="9" t="inlineStr">
        <is>
          <t>Not Run</t>
        </is>
      </c>
      <c r="K117" s="9" t="inlineStr"/>
      <c r="L117" s="9" t="inlineStr"/>
    </row>
    <row r="118">
      <c r="A118" s="7" t="inlineStr">
        <is>
          <t>SUB-013</t>
        </is>
      </c>
      <c r="B118" s="13" t="inlineStr">
        <is>
          <t>Subscriptions</t>
        </is>
      </c>
      <c r="C118" s="9" t="inlineStr">
        <is>
          <t>Public plans endpoint</t>
        </is>
      </c>
      <c r="D118" s="9" t="inlineStr">
        <is>
          <t>Marketing site can list plans</t>
        </is>
      </c>
      <c r="E118" s="9" t="inlineStr">
        <is>
          <t>None</t>
        </is>
      </c>
      <c r="F118" s="9" t="inlineStr">
        <is>
          <t>1. GET /api/v1/plans (no auth)</t>
        </is>
      </c>
      <c r="G118" s="9" t="inlineStr">
        <is>
          <t>Returns active plans only with name, price, features, limits. No secrets.</t>
        </is>
      </c>
      <c r="H118" s="12" t="inlineStr">
        <is>
          <t>Medium</t>
        </is>
      </c>
      <c r="I118" s="9" t="inlineStr">
        <is>
          <t>Functional</t>
        </is>
      </c>
      <c r="J118" s="9" t="inlineStr">
        <is>
          <t>Not Run</t>
        </is>
      </c>
      <c r="K118" s="9" t="inlineStr"/>
      <c r="L118" s="9" t="inlineStr"/>
    </row>
    <row r="119">
      <c r="A119" s="7" t="inlineStr">
        <is>
          <t>SUB-014</t>
        </is>
      </c>
      <c r="B119" s="13" t="inlineStr">
        <is>
          <t>Subscriptions</t>
        </is>
      </c>
      <c r="C119" s="9" t="inlineStr">
        <is>
          <t>Paystack webhook signature</t>
        </is>
      </c>
      <c r="D119" s="9" t="inlineStr">
        <is>
          <t>Invalid webhook signatures rejected</t>
        </is>
      </c>
      <c r="E119" s="9" t="inlineStr">
        <is>
          <t>Paystack webhook endpoint</t>
        </is>
      </c>
      <c r="F119" s="9" t="inlineStr">
        <is>
          <t>1. POST /api/v1/subscription/paystack/webhook with bad signature</t>
        </is>
      </c>
      <c r="G119" s="9" t="inlineStr">
        <is>
          <t>401/403. Payload ignored.</t>
        </is>
      </c>
      <c r="H119" s="10" t="inlineStr">
        <is>
          <t>Critical</t>
        </is>
      </c>
      <c r="I119" s="9" t="inlineStr">
        <is>
          <t>Security</t>
        </is>
      </c>
      <c r="J119" s="9" t="inlineStr">
        <is>
          <t>Not Run</t>
        </is>
      </c>
      <c r="K119" s="9" t="inlineStr"/>
      <c r="L119" s="9" t="inlineStr"/>
    </row>
    <row r="120">
      <c r="A120" s="7" t="inlineStr">
        <is>
          <t>SUB-015</t>
        </is>
      </c>
      <c r="B120" s="13" t="inlineStr">
        <is>
          <t>Subscriptions</t>
        </is>
      </c>
      <c r="C120" s="9" t="inlineStr">
        <is>
          <t>Extend trial input validation</t>
        </is>
      </c>
      <c r="D120" s="9" t="inlineStr">
        <is>
          <t>Extend trial rejects invalid days</t>
        </is>
      </c>
      <c r="E120" s="9" t="inlineStr">
        <is>
          <t>Trialing subscription</t>
        </is>
      </c>
      <c r="F120" s="9" t="inlineStr">
        <is>
          <t>1. As super admin, try to extend trial by 0 days or 500 days via API</t>
        </is>
      </c>
      <c r="G120" s="9" t="inlineStr">
        <is>
          <t>Error: 'Extension must be between 1 and 365 days'.</t>
        </is>
      </c>
      <c r="H120" s="12" t="inlineStr">
        <is>
          <t>Medium</t>
        </is>
      </c>
      <c r="I120" s="9" t="inlineStr">
        <is>
          <t>Negative</t>
        </is>
      </c>
      <c r="J120" s="9" t="inlineStr">
        <is>
          <t>Not Run</t>
        </is>
      </c>
      <c r="K120" s="9" t="inlineStr"/>
      <c r="L120" s="9" t="inlineStr"/>
    </row>
    <row r="121">
      <c r="A121" s="7" t="inlineStr">
        <is>
          <t>SUB-016</t>
        </is>
      </c>
      <c r="B121" s="13" t="inlineStr">
        <is>
          <t>Subscriptions</t>
        </is>
      </c>
      <c r="C121" s="9" t="inlineStr">
        <is>
          <t>Plan feature validation</t>
        </is>
      </c>
      <c r="D121" s="9" t="inlineStr">
        <is>
          <t>Feature toggles in plan must be valid keys</t>
        </is>
      </c>
      <c r="E121" s="9" t="inlineStr">
        <is>
          <t>Creating new plan</t>
        </is>
      </c>
      <c r="F121" s="9" t="inlineStr">
        <is>
          <t>1. Try to save plan with unknown feature key via API</t>
        </is>
      </c>
      <c r="G121" s="9" t="inlineStr">
        <is>
          <t>Either silently filtered OR validation error. Unknown keys don't break tenants.</t>
        </is>
      </c>
      <c r="H121" s="12" t="inlineStr">
        <is>
          <t>Medium</t>
        </is>
      </c>
      <c r="I121" s="9" t="inlineStr">
        <is>
          <t>Negative</t>
        </is>
      </c>
      <c r="J121" s="9" t="inlineStr">
        <is>
          <t>Not Run</t>
        </is>
      </c>
      <c r="K121" s="9" t="inlineStr"/>
      <c r="L121" s="9" t="inlineStr"/>
    </row>
    <row r="122">
      <c r="A122" s="7" t="inlineStr">
        <is>
          <t>SET-001</t>
        </is>
      </c>
      <c r="B122" s="25" t="inlineStr">
        <is>
          <t>Settings</t>
        </is>
      </c>
      <c r="C122" s="9" t="inlineStr">
        <is>
          <t>Update school info</t>
        </is>
      </c>
      <c r="D122" s="9" t="inlineStr">
        <is>
          <t>Admin edits school details</t>
        </is>
      </c>
      <c r="E122" s="9" t="inlineStr">
        <is>
          <t>Logged in as admin</t>
        </is>
      </c>
      <c r="F122" s="9" t="inlineStr">
        <is>
          <t>1. /settings
2. School info
3. Update name/address
4. Save</t>
        </is>
      </c>
      <c r="G122" s="9" t="inlineStr">
        <is>
          <t>Changes persist. Navbar logo updates if changed.</t>
        </is>
      </c>
      <c r="H122" s="12" t="inlineStr">
        <is>
          <t>Medium</t>
        </is>
      </c>
      <c r="I122" s="9" t="inlineStr">
        <is>
          <t>Functional</t>
        </is>
      </c>
      <c r="J122" s="9" t="inlineStr">
        <is>
          <t>Not Run</t>
        </is>
      </c>
      <c r="K122" s="9" t="inlineStr"/>
      <c r="L122" s="9" t="inlineStr"/>
    </row>
    <row r="123">
      <c r="A123" s="7" t="inlineStr">
        <is>
          <t>SET-002</t>
        </is>
      </c>
      <c r="B123" s="25" t="inlineStr">
        <is>
          <t>Settings</t>
        </is>
      </c>
      <c r="C123" s="9" t="inlineStr">
        <is>
          <t>Toggle feature</t>
        </is>
      </c>
      <c r="D123" s="9" t="inlineStr">
        <is>
          <t>Enable/disable a feature</t>
        </is>
      </c>
      <c r="E123" s="9" t="inlineStr">
        <is>
          <t>Feature not locked by plan</t>
        </is>
      </c>
      <c r="F123" s="9" t="inlineStr">
        <is>
          <t>1. /settings/features
2. Toggle
3. Save</t>
        </is>
      </c>
      <c r="G123" s="9" t="inlineStr">
        <is>
          <t>Feature updated. Sidebar link appears/disappears.</t>
        </is>
      </c>
      <c r="H123" s="11" t="inlineStr">
        <is>
          <t>High</t>
        </is>
      </c>
      <c r="I123" s="9" t="inlineStr">
        <is>
          <t>Functional</t>
        </is>
      </c>
      <c r="J123" s="9" t="inlineStr">
        <is>
          <t>Not Run</t>
        </is>
      </c>
      <c r="K123" s="9" t="inlineStr"/>
      <c r="L123" s="9" t="inlineStr"/>
    </row>
    <row r="124">
      <c r="A124" s="7" t="inlineStr">
        <is>
          <t>SET-003</t>
        </is>
      </c>
      <c r="B124" s="25" t="inlineStr">
        <is>
          <t>Settings</t>
        </is>
      </c>
      <c r="C124" s="9" t="inlineStr">
        <is>
          <t>Plan-locked feature</t>
        </is>
      </c>
      <c r="D124" s="9" t="inlineStr">
        <is>
          <t>Cannot toggle plan-controlled feature</t>
        </is>
      </c>
      <c r="E124" s="9" t="inlineStr">
        <is>
          <t>Active plan with locked feature</t>
        </is>
      </c>
      <c r="F124" s="9" t="inlineStr">
        <is>
          <t>1. /settings/features</t>
        </is>
      </c>
      <c r="G124" s="9" t="inlineStr">
        <is>
          <t>Locked checkbox disabled. Shows 'Plan-managed' label.</t>
        </is>
      </c>
      <c r="H124" s="11" t="inlineStr">
        <is>
          <t>High</t>
        </is>
      </c>
      <c r="I124" s="9" t="inlineStr">
        <is>
          <t>Permission</t>
        </is>
      </c>
      <c r="J124" s="9" t="inlineStr">
        <is>
          <t>Not Run</t>
        </is>
      </c>
      <c r="K124" s="9" t="inlineStr"/>
      <c r="L124" s="9" t="inlineStr"/>
    </row>
    <row r="125">
      <c r="A125" s="7" t="inlineStr">
        <is>
          <t>SET-004</t>
        </is>
      </c>
      <c r="B125" s="25" t="inlineStr">
        <is>
          <t>Settings</t>
        </is>
      </c>
      <c r="C125" s="9" t="inlineStr">
        <is>
          <t>Change language</t>
        </is>
      </c>
      <c r="D125" s="9" t="inlineStr">
        <is>
          <t>Switch UI to Afrikaans</t>
        </is>
      </c>
      <c r="E125" s="9" t="inlineStr">
        <is>
          <t>Logged in</t>
        </is>
      </c>
      <c r="F125" s="9" t="inlineStr">
        <is>
          <t>1. Profile &gt; Language = Afrikaans
2. Reload</t>
        </is>
      </c>
      <c r="G125" s="9" t="inlineStr">
        <is>
          <t>All translated strings show in Afrikaans.</t>
        </is>
      </c>
      <c r="H125" s="15" t="inlineStr">
        <is>
          <t>Low</t>
        </is>
      </c>
      <c r="I125" s="9" t="inlineStr">
        <is>
          <t>UI</t>
        </is>
      </c>
      <c r="J125" s="9" t="inlineStr">
        <is>
          <t>Not Run</t>
        </is>
      </c>
      <c r="K125" s="9" t="inlineStr"/>
      <c r="L125" s="9" t="inlineStr"/>
    </row>
    <row r="126">
      <c r="A126" s="7" t="inlineStr">
        <is>
          <t>SET-005</t>
        </is>
      </c>
      <c r="B126" s="25" t="inlineStr">
        <is>
          <t>Settings</t>
        </is>
      </c>
      <c r="C126" s="9" t="inlineStr">
        <is>
          <t>Email config (super admin)</t>
        </is>
      </c>
      <c r="D126" s="9" t="inlineStr">
        <is>
          <t>Change email provider</t>
        </is>
      </c>
      <c r="E126" s="9" t="inlineStr">
        <is>
          <t>Super admin</t>
        </is>
      </c>
      <c r="F126" s="9" t="inlineStr">
        <is>
          <t>1. /admin/email-settings
2. Switch to Resend
3. Enter API key
4. Test</t>
        </is>
      </c>
      <c r="G126" s="9" t="inlineStr">
        <is>
          <t>Test email sent successfully.</t>
        </is>
      </c>
      <c r="H126" s="11" t="inlineStr">
        <is>
          <t>High</t>
        </is>
      </c>
      <c r="I126" s="9" t="inlineStr">
        <is>
          <t>Functional</t>
        </is>
      </c>
      <c r="J126" s="9" t="inlineStr">
        <is>
          <t>Not Run</t>
        </is>
      </c>
      <c r="K126" s="9" t="inlineStr"/>
      <c r="L126" s="9" t="inlineStr"/>
    </row>
    <row r="127">
      <c r="A127" s="7" t="inlineStr">
        <is>
          <t>SEC-001</t>
        </is>
      </c>
      <c r="B127" s="26" t="inlineStr">
        <is>
          <t>Security</t>
        </is>
      </c>
      <c r="C127" s="9" t="inlineStr">
        <is>
          <t>Cross-tenant data access</t>
        </is>
      </c>
      <c r="D127" s="9" t="inlineStr">
        <is>
          <t>Tenant isolation on IDs</t>
        </is>
      </c>
      <c r="E127" s="9" t="inlineStr">
        <is>
          <t>Two tenants with data</t>
        </is>
      </c>
      <c r="F127" s="9" t="inlineStr">
        <is>
          <t>1. Log in as Tenant A admin
2. Try GET /api/v1/students/{TenantB_student_id}</t>
        </is>
      </c>
      <c r="G127" s="9" t="inlineStr">
        <is>
          <t>404 Not Found. No data returned.</t>
        </is>
      </c>
      <c r="H127" s="10" t="inlineStr">
        <is>
          <t>Critical</t>
        </is>
      </c>
      <c r="I127" s="9" t="inlineStr">
        <is>
          <t>Security</t>
        </is>
      </c>
      <c r="J127" s="9" t="inlineStr">
        <is>
          <t>Not Run</t>
        </is>
      </c>
      <c r="K127" s="9" t="inlineStr"/>
      <c r="L127" s="9" t="inlineStr"/>
    </row>
    <row r="128">
      <c r="A128" s="7" t="inlineStr">
        <is>
          <t>SEC-002</t>
        </is>
      </c>
      <c r="B128" s="26" t="inlineStr">
        <is>
          <t>Security</t>
        </is>
      </c>
      <c r="C128" s="9" t="inlineStr">
        <is>
          <t>Role escalation attempt</t>
        </is>
      </c>
      <c r="D128" s="9" t="inlineStr">
        <is>
          <t>Parent cannot hit admin endpoints</t>
        </is>
      </c>
      <c r="E128" s="9" t="inlineStr">
        <is>
          <t>Logged in as parent</t>
        </is>
      </c>
      <c r="F128" s="9" t="inlineStr">
        <is>
          <t>1. Try POST /api/v1/students (create)</t>
        </is>
      </c>
      <c r="G128" s="9" t="inlineStr">
        <is>
          <t>403 Forbidden.</t>
        </is>
      </c>
      <c r="H128" s="10" t="inlineStr">
        <is>
          <t>Critical</t>
        </is>
      </c>
      <c r="I128" s="9" t="inlineStr">
        <is>
          <t>Security</t>
        </is>
      </c>
      <c r="J128" s="9" t="inlineStr">
        <is>
          <t>Not Run</t>
        </is>
      </c>
      <c r="K128" s="9" t="inlineStr"/>
      <c r="L128" s="9" t="inlineStr"/>
    </row>
    <row r="129">
      <c r="A129" s="7" t="inlineStr">
        <is>
          <t>SEC-003</t>
        </is>
      </c>
      <c r="B129" s="26" t="inlineStr">
        <is>
          <t>Security</t>
        </is>
      </c>
      <c r="C129" s="9" t="inlineStr">
        <is>
          <t>SQL injection on search</t>
        </is>
      </c>
      <c r="D129" s="9" t="inlineStr">
        <is>
          <t>Search input is sanitized</t>
        </is>
      </c>
      <c r="E129" s="9" t="inlineStr">
        <is>
          <t>Logged in</t>
        </is>
      </c>
      <c r="F129" s="9" t="inlineStr">
        <is>
          <t>1. Search students with "'; DROP TABLE students; --"</t>
        </is>
      </c>
      <c r="G129" s="9" t="inlineStr">
        <is>
          <t>No error. No data corruption. Results empty or filtered.</t>
        </is>
      </c>
      <c r="H129" s="10" t="inlineStr">
        <is>
          <t>Critical</t>
        </is>
      </c>
      <c r="I129" s="9" t="inlineStr">
        <is>
          <t>Security</t>
        </is>
      </c>
      <c r="J129" s="9" t="inlineStr">
        <is>
          <t>Not Run</t>
        </is>
      </c>
      <c r="K129" s="9" t="inlineStr"/>
      <c r="L129" s="9" t="inlineStr"/>
    </row>
    <row r="130">
      <c r="A130" s="7" t="inlineStr">
        <is>
          <t>SEC-004</t>
        </is>
      </c>
      <c r="B130" s="26" t="inlineStr">
        <is>
          <t>Security</t>
        </is>
      </c>
      <c r="C130" s="9" t="inlineStr">
        <is>
          <t>XSS in student notes</t>
        </is>
      </c>
      <c r="D130" s="9" t="inlineStr">
        <is>
          <t>Script tags escaped</t>
        </is>
      </c>
      <c r="E130" s="9" t="inlineStr">
        <is>
          <t>Logged in</t>
        </is>
      </c>
      <c r="F130" s="9" t="inlineStr">
        <is>
          <t>1. Edit student notes = '&lt;script&gt;alert(1)&lt;/script&gt;'
2. View profile</t>
        </is>
      </c>
      <c r="G130" s="9" t="inlineStr">
        <is>
          <t>Text shown literally. No script execution.</t>
        </is>
      </c>
      <c r="H130" s="10" t="inlineStr">
        <is>
          <t>Critical</t>
        </is>
      </c>
      <c r="I130" s="9" t="inlineStr">
        <is>
          <t>Security</t>
        </is>
      </c>
      <c r="J130" s="9" t="inlineStr">
        <is>
          <t>Not Run</t>
        </is>
      </c>
      <c r="K130" s="9" t="inlineStr"/>
      <c r="L130" s="9" t="inlineStr"/>
    </row>
    <row r="131">
      <c r="A131" s="7" t="inlineStr">
        <is>
          <t>SEC-005</t>
        </is>
      </c>
      <c r="B131" s="26" t="inlineStr">
        <is>
          <t>Security</t>
        </is>
      </c>
      <c r="C131" s="9" t="inlineStr">
        <is>
          <t>Webhook SSRF</t>
        </is>
      </c>
      <c r="D131" s="9" t="inlineStr">
        <is>
          <t>Cannot register localhost webhook</t>
        </is>
      </c>
      <c r="E131" s="9" t="inlineStr">
        <is>
          <t>Admin logged in</t>
        </is>
      </c>
      <c r="F131" s="9" t="inlineStr">
        <is>
          <t>1. /webhooks
2. New with URL http://localhost:6379</t>
        </is>
      </c>
      <c r="G131" s="9" t="inlineStr">
        <is>
          <t>Rejected with error: 'Webhook URL cannot point to internal addresses.'</t>
        </is>
      </c>
      <c r="H131" s="11" t="inlineStr">
        <is>
          <t>High</t>
        </is>
      </c>
      <c r="I131" s="9" t="inlineStr">
        <is>
          <t>Security</t>
        </is>
      </c>
      <c r="J131" s="9" t="inlineStr">
        <is>
          <t>Not Run</t>
        </is>
      </c>
      <c r="K131" s="9" t="inlineStr"/>
      <c r="L131" s="9" t="inlineStr"/>
    </row>
    <row r="132">
      <c r="A132" s="7" t="inlineStr">
        <is>
          <t>SEC-006</t>
        </is>
      </c>
      <c r="B132" s="26" t="inlineStr">
        <is>
          <t>Security</t>
        </is>
      </c>
      <c r="C132" s="9" t="inlineStr">
        <is>
          <t>Cookie security</t>
        </is>
      </c>
      <c r="D132" s="9" t="inlineStr">
        <is>
          <t>Session cookie has HttpOnly + SameSite</t>
        </is>
      </c>
      <c r="E132" s="9" t="inlineStr">
        <is>
          <t>Logged in</t>
        </is>
      </c>
      <c r="F132" s="9" t="inlineStr">
        <is>
          <t>1. Check browser dev tools &gt; Cookies &gt; access_token</t>
        </is>
      </c>
      <c r="G132" s="9" t="inlineStr">
        <is>
          <t>HttpOnly=true, SameSite=Lax. Secure=true in production.</t>
        </is>
      </c>
      <c r="H132" s="10" t="inlineStr">
        <is>
          <t>Critical</t>
        </is>
      </c>
      <c r="I132" s="9" t="inlineStr">
        <is>
          <t>Security</t>
        </is>
      </c>
      <c r="J132" s="9" t="inlineStr">
        <is>
          <t>Not Run</t>
        </is>
      </c>
      <c r="K132" s="9" t="inlineStr"/>
      <c r="L132" s="9" t="inlineStr"/>
    </row>
    <row r="133">
      <c r="A133" s="7" t="inlineStr">
        <is>
          <t>SEC-007</t>
        </is>
      </c>
      <c r="B133" s="26" t="inlineStr">
        <is>
          <t>Security</t>
        </is>
      </c>
      <c r="C133" s="9" t="inlineStr">
        <is>
          <t>HTTPS redirect (prod)</t>
        </is>
      </c>
      <c r="D133" s="9" t="inlineStr">
        <is>
          <t>HTTP redirects to HTTPS</t>
        </is>
      </c>
      <c r="E133" s="9" t="inlineStr">
        <is>
          <t>Production environment</t>
        </is>
      </c>
      <c r="F133" s="9" t="inlineStr">
        <is>
          <t>1. Visit http://classup.co.za</t>
        </is>
      </c>
      <c r="G133" s="9" t="inlineStr">
        <is>
          <t>301/302 redirect to https://. HSTS header set.</t>
        </is>
      </c>
      <c r="H133" s="10" t="inlineStr">
        <is>
          <t>Critical</t>
        </is>
      </c>
      <c r="I133" s="9" t="inlineStr">
        <is>
          <t>Security</t>
        </is>
      </c>
      <c r="J133" s="9" t="inlineStr">
        <is>
          <t>Not Run</t>
        </is>
      </c>
      <c r="K133" s="9" t="inlineStr"/>
      <c r="L133" s="9" t="inlineStr"/>
    </row>
    <row r="134">
      <c r="A134" s="7" t="inlineStr">
        <is>
          <t>SEC-008</t>
        </is>
      </c>
      <c r="B134" s="26" t="inlineStr">
        <is>
          <t>Security</t>
        </is>
      </c>
      <c r="C134" s="9" t="inlineStr">
        <is>
          <t>Security headers present</t>
        </is>
      </c>
      <c r="D134" s="9" t="inlineStr">
        <is>
          <t>Required security headers</t>
        </is>
      </c>
      <c r="E134" s="9" t="inlineStr">
        <is>
          <t>Any page load</t>
        </is>
      </c>
      <c r="F134" s="9" t="inlineStr">
        <is>
          <t>1. Check response headers</t>
        </is>
      </c>
      <c r="G134" s="9" t="inlineStr">
        <is>
          <t>X-Content-Type-Options: nosniff, X-Frame-Options: DENY, X-XSS-Protection set.</t>
        </is>
      </c>
      <c r="H134" s="11" t="inlineStr">
        <is>
          <t>High</t>
        </is>
      </c>
      <c r="I134" s="9" t="inlineStr">
        <is>
          <t>Security</t>
        </is>
      </c>
      <c r="J134" s="9" t="inlineStr">
        <is>
          <t>Not Run</t>
        </is>
      </c>
      <c r="K134" s="9" t="inlineStr"/>
      <c r="L134" s="9" t="inlineStr"/>
    </row>
    <row r="135">
      <c r="A135" s="7" t="inlineStr">
        <is>
          <t>UI-001</t>
        </is>
      </c>
      <c r="B135" s="27" t="inlineStr">
        <is>
          <t>UI/UX</t>
        </is>
      </c>
      <c r="C135" s="9" t="inlineStr">
        <is>
          <t>Mobile navigation</t>
        </is>
      </c>
      <c r="D135" s="9" t="inlineStr">
        <is>
          <t>Bottom tab nav on mobile</t>
        </is>
      </c>
      <c r="E135" s="9" t="inlineStr">
        <is>
          <t>Mobile device (&lt;768px)</t>
        </is>
      </c>
      <c r="F135" s="9" t="inlineStr">
        <is>
          <t>1. Open on phone or narrow browser</t>
        </is>
      </c>
      <c r="G135" s="9" t="inlineStr">
        <is>
          <t>Bottom nav visible. Sidebar hidden. Touch targets ≥ 44px.</t>
        </is>
      </c>
      <c r="H135" s="11" t="inlineStr">
        <is>
          <t>High</t>
        </is>
      </c>
      <c r="I135" s="9" t="inlineStr">
        <is>
          <t>UI</t>
        </is>
      </c>
      <c r="J135" s="9" t="inlineStr">
        <is>
          <t>Not Run</t>
        </is>
      </c>
      <c r="K135" s="9" t="inlineStr"/>
      <c r="L135" s="9" t="inlineStr"/>
    </row>
    <row r="136">
      <c r="A136" s="7" t="inlineStr">
        <is>
          <t>UI-002</t>
        </is>
      </c>
      <c r="B136" s="27" t="inlineStr">
        <is>
          <t>UI/UX</t>
        </is>
      </c>
      <c r="C136" s="9" t="inlineStr">
        <is>
          <t>Toast notifications</t>
        </is>
      </c>
      <c r="D136" s="9" t="inlineStr">
        <is>
          <t>Success/error toasts appear</t>
        </is>
      </c>
      <c r="E136" s="9" t="inlineStr">
        <is>
          <t>Any action</t>
        </is>
      </c>
      <c r="F136" s="9" t="inlineStr">
        <is>
          <t>1. Perform save action</t>
        </is>
      </c>
      <c r="G136" s="9" t="inlineStr">
        <is>
          <t>Toast appears top-right, auto-dismisses. No native alert() dialogs.</t>
        </is>
      </c>
      <c r="H136" s="12" t="inlineStr">
        <is>
          <t>Medium</t>
        </is>
      </c>
      <c r="I136" s="9" t="inlineStr">
        <is>
          <t>UI</t>
        </is>
      </c>
      <c r="J136" s="9" t="inlineStr">
        <is>
          <t>Not Run</t>
        </is>
      </c>
      <c r="K136" s="9" t="inlineStr"/>
      <c r="L136" s="9" t="inlineStr"/>
    </row>
    <row r="137">
      <c r="A137" s="7" t="inlineStr">
        <is>
          <t>UI-003</t>
        </is>
      </c>
      <c r="B137" s="27" t="inlineStr">
        <is>
          <t>UI/UX</t>
        </is>
      </c>
      <c r="C137" s="9" t="inlineStr">
        <is>
          <t>Loading states</t>
        </is>
      </c>
      <c r="D137" s="9" t="inlineStr">
        <is>
          <t>Buttons disable during async</t>
        </is>
      </c>
      <c r="E137" s="9" t="inlineStr">
        <is>
          <t>Any async action</t>
        </is>
      </c>
      <c r="F137" s="9" t="inlineStr">
        <is>
          <t>1. Click submit button</t>
        </is>
      </c>
      <c r="G137" s="9" t="inlineStr">
        <is>
          <t>Button disabled + spinner until complete.</t>
        </is>
      </c>
      <c r="H137" s="15" t="inlineStr">
        <is>
          <t>Low</t>
        </is>
      </c>
      <c r="I137" s="9" t="inlineStr">
        <is>
          <t>UI</t>
        </is>
      </c>
      <c r="J137" s="9" t="inlineStr">
        <is>
          <t>Not Run</t>
        </is>
      </c>
      <c r="K137" s="9" t="inlineStr"/>
      <c r="L137" s="9" t="inlineStr"/>
    </row>
    <row r="138">
      <c r="A138" s="7" t="inlineStr">
        <is>
          <t>UI-004</t>
        </is>
      </c>
      <c r="B138" s="27" t="inlineStr">
        <is>
          <t>UI/UX</t>
        </is>
      </c>
      <c r="C138" s="9" t="inlineStr">
        <is>
          <t>Empty states</t>
        </is>
      </c>
      <c r="D138" s="9" t="inlineStr">
        <is>
          <t>Friendly empty list screens</t>
        </is>
      </c>
      <c r="E138" s="9" t="inlineStr">
        <is>
          <t>Fresh tenant</t>
        </is>
      </c>
      <c r="F138" s="9" t="inlineStr">
        <is>
          <t>1. Visit /students / /classes / /reports</t>
        </is>
      </c>
      <c r="G138" s="9" t="inlineStr">
        <is>
          <t>Illustration + helpful text + CTA button.</t>
        </is>
      </c>
      <c r="H138" s="15" t="inlineStr">
        <is>
          <t>Low</t>
        </is>
      </c>
      <c r="I138" s="9" t="inlineStr">
        <is>
          <t>UI</t>
        </is>
      </c>
      <c r="J138" s="9" t="inlineStr">
        <is>
          <t>Not Run</t>
        </is>
      </c>
      <c r="K138" s="9" t="inlineStr"/>
      <c r="L138" s="9" t="inlineStr"/>
    </row>
    <row r="139">
      <c r="A139" s="7" t="inlineStr">
        <is>
          <t>UI-005</t>
        </is>
      </c>
      <c r="B139" s="27" t="inlineStr">
        <is>
          <t>UI/UX</t>
        </is>
      </c>
      <c r="C139" s="9" t="inlineStr">
        <is>
          <t>Error page</t>
        </is>
      </c>
      <c r="D139" s="9" t="inlineStr">
        <is>
          <t>Friendly 404 page</t>
        </is>
      </c>
      <c r="E139" s="9" t="inlineStr">
        <is>
          <t>None</t>
        </is>
      </c>
      <c r="F139" s="9" t="inlineStr">
        <is>
          <t>1. Visit /nonexistent-page</t>
        </is>
      </c>
      <c r="G139" s="9" t="inlineStr">
        <is>
          <t>Custom 404 page with link back to dashboard.</t>
        </is>
      </c>
      <c r="H139" s="12" t="inlineStr">
        <is>
          <t>Medium</t>
        </is>
      </c>
      <c r="I139" s="9" t="inlineStr">
        <is>
          <t>UI</t>
        </is>
      </c>
      <c r="J139" s="9" t="inlineStr">
        <is>
          <t>Not Run</t>
        </is>
      </c>
      <c r="K139" s="9" t="inlineStr"/>
      <c r="L139" s="9" t="inlineStr"/>
    </row>
  </sheetData>
  <autoFilter ref="A1:L139"/>
  <dataValidations count="1">
    <dataValidation sqref="J2:J139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28" t="inlineStr">
        <is>
          <t>Test Run Summary</t>
        </is>
      </c>
    </row>
    <row r="3">
      <c r="A3" s="29" t="inlineStr">
        <is>
          <t>Overall</t>
        </is>
      </c>
    </row>
    <row r="4">
      <c r="A4" s="30" t="inlineStr">
        <is>
          <t>Total</t>
        </is>
      </c>
      <c r="B4" s="30" t="inlineStr">
        <is>
          <t>Pass</t>
        </is>
      </c>
      <c r="C4" s="30" t="inlineStr">
        <is>
          <t>Fail</t>
        </is>
      </c>
      <c r="D4" s="30" t="inlineStr">
        <is>
          <t>Blocked</t>
        </is>
      </c>
      <c r="E4" s="30" t="inlineStr">
        <is>
          <t>Not Run</t>
        </is>
      </c>
      <c r="F4" s="30" t="inlineStr">
        <is>
          <t>Pass %</t>
        </is>
      </c>
    </row>
    <row r="5">
      <c r="A5" s="31">
        <f>COUNTA('Test Cases'!A2:A139)</f>
        <v/>
      </c>
      <c r="B5" s="31">
        <f>COUNTIF('Test Cases'!J2:J139,"Pass")</f>
        <v/>
      </c>
      <c r="C5" s="31">
        <f>COUNTIF('Test Cases'!J2:J139,"Fail")</f>
        <v/>
      </c>
      <c r="D5" s="31">
        <f>COUNTIF('Test Cases'!J2:J139,"Blocked")</f>
        <v/>
      </c>
      <c r="E5" s="31">
        <f>COUNTIF('Test Cases'!J2:J139,"Not Run")</f>
        <v/>
      </c>
      <c r="F5" s="32">
        <f>IF(A5=0,0,B5/A5)</f>
        <v/>
      </c>
    </row>
    <row r="7">
      <c r="A7" s="29" t="inlineStr">
        <is>
          <t>Per-Module Breakdown</t>
        </is>
      </c>
    </row>
    <row r="8">
      <c r="A8" s="30" t="inlineStr">
        <is>
          <t>Module</t>
        </is>
      </c>
      <c r="B8" s="30" t="inlineStr">
        <is>
          <t>Total</t>
        </is>
      </c>
      <c r="C8" s="30" t="inlineStr">
        <is>
          <t>Pass</t>
        </is>
      </c>
      <c r="D8" s="30" t="inlineStr">
        <is>
          <t>Fail</t>
        </is>
      </c>
      <c r="E8" s="30" t="inlineStr">
        <is>
          <t>Blocked</t>
        </is>
      </c>
      <c r="F8" s="30" t="inlineStr">
        <is>
          <t>Not Run</t>
        </is>
      </c>
      <c r="G8" s="30" t="inlineStr">
        <is>
          <t>Pass %</t>
        </is>
      </c>
    </row>
    <row r="9">
      <c r="A9" s="33" t="inlineStr">
        <is>
          <t>Authentication</t>
        </is>
      </c>
      <c r="B9" s="34">
        <f>COUNTIF('Test Cases'!B2:B139,"Authentication")</f>
        <v/>
      </c>
      <c r="C9" s="34">
        <f>COUNTIFS('Test Cases'!B2:B139,"Authentication",'Test Cases'!J2:J139,"Pass")</f>
        <v/>
      </c>
      <c r="D9" s="34">
        <f>COUNTIFS('Test Cases'!B2:B139,"Authentication",'Test Cases'!J2:J139,"Fail")</f>
        <v/>
      </c>
      <c r="E9" s="34">
        <f>COUNTIFS('Test Cases'!B2:B139,"Authentication",'Test Cases'!J2:J139,"Blocked")</f>
        <v/>
      </c>
      <c r="F9" s="34">
        <f>COUNTIFS('Test Cases'!B2:B139,"Authentication",'Test Cases'!J2:J139,"Not Run")</f>
        <v/>
      </c>
      <c r="G9" s="35">
        <f>IF(B9=0,0,C9/B9)</f>
        <v/>
      </c>
    </row>
    <row r="10">
      <c r="A10" s="36" t="inlineStr">
        <is>
          <t>Onboarding</t>
        </is>
      </c>
      <c r="B10" s="34">
        <f>COUNTIF('Test Cases'!B2:B139,"Onboarding")</f>
        <v/>
      </c>
      <c r="C10" s="34">
        <f>COUNTIFS('Test Cases'!B2:B139,"Onboarding",'Test Cases'!J2:J139,"Pass")</f>
        <v/>
      </c>
      <c r="D10" s="34">
        <f>COUNTIFS('Test Cases'!B2:B139,"Onboarding",'Test Cases'!J2:J139,"Fail")</f>
        <v/>
      </c>
      <c r="E10" s="34">
        <f>COUNTIFS('Test Cases'!B2:B139,"Onboarding",'Test Cases'!J2:J139,"Blocked")</f>
        <v/>
      </c>
      <c r="F10" s="34">
        <f>COUNTIFS('Test Cases'!B2:B139,"Onboarding",'Test Cases'!J2:J139,"Not Run")</f>
        <v/>
      </c>
      <c r="G10" s="35">
        <f>IF(B10=0,0,C10/B10)</f>
        <v/>
      </c>
    </row>
    <row r="11">
      <c r="A11" s="37" t="inlineStr">
        <is>
          <t>Students</t>
        </is>
      </c>
      <c r="B11" s="34">
        <f>COUNTIF('Test Cases'!B2:B139,"Students")</f>
        <v/>
      </c>
      <c r="C11" s="34">
        <f>COUNTIFS('Test Cases'!B2:B139,"Students",'Test Cases'!J2:J139,"Pass")</f>
        <v/>
      </c>
      <c r="D11" s="34">
        <f>COUNTIFS('Test Cases'!B2:B139,"Students",'Test Cases'!J2:J139,"Fail")</f>
        <v/>
      </c>
      <c r="E11" s="34">
        <f>COUNTIFS('Test Cases'!B2:B139,"Students",'Test Cases'!J2:J139,"Blocked")</f>
        <v/>
      </c>
      <c r="F11" s="34">
        <f>COUNTIFS('Test Cases'!B2:B139,"Students",'Test Cases'!J2:J139,"Not Run")</f>
        <v/>
      </c>
      <c r="G11" s="35">
        <f>IF(B11=0,0,C11/B11)</f>
        <v/>
      </c>
    </row>
    <row r="12">
      <c r="A12" s="38" t="inlineStr">
        <is>
          <t>Classes</t>
        </is>
      </c>
      <c r="B12" s="34">
        <f>COUNTIF('Test Cases'!B2:B139,"Classes")</f>
        <v/>
      </c>
      <c r="C12" s="34">
        <f>COUNTIFS('Test Cases'!B2:B139,"Classes",'Test Cases'!J2:J139,"Pass")</f>
        <v/>
      </c>
      <c r="D12" s="34">
        <f>COUNTIFS('Test Cases'!B2:B139,"Classes",'Test Cases'!J2:J139,"Fail")</f>
        <v/>
      </c>
      <c r="E12" s="34">
        <f>COUNTIFS('Test Cases'!B2:B139,"Classes",'Test Cases'!J2:J139,"Blocked")</f>
        <v/>
      </c>
      <c r="F12" s="34">
        <f>COUNTIFS('Test Cases'!B2:B139,"Classes",'Test Cases'!J2:J139,"Not Run")</f>
        <v/>
      </c>
      <c r="G12" s="35">
        <f>IF(B12=0,0,C12/B12)</f>
        <v/>
      </c>
    </row>
    <row r="13">
      <c r="A13" s="39" t="inlineStr">
        <is>
          <t>Teachers</t>
        </is>
      </c>
      <c r="B13" s="34">
        <f>COUNTIF('Test Cases'!B2:B139,"Teachers")</f>
        <v/>
      </c>
      <c r="C13" s="34">
        <f>COUNTIFS('Test Cases'!B2:B139,"Teachers",'Test Cases'!J2:J139,"Pass")</f>
        <v/>
      </c>
      <c r="D13" s="34">
        <f>COUNTIFS('Test Cases'!B2:B139,"Teachers",'Test Cases'!J2:J139,"Fail")</f>
        <v/>
      </c>
      <c r="E13" s="34">
        <f>COUNTIFS('Test Cases'!B2:B139,"Teachers",'Test Cases'!J2:J139,"Blocked")</f>
        <v/>
      </c>
      <c r="F13" s="34">
        <f>COUNTIFS('Test Cases'!B2:B139,"Teachers",'Test Cases'!J2:J139,"Not Run")</f>
        <v/>
      </c>
      <c r="G13" s="35">
        <f>IF(B13=0,0,C13/B13)</f>
        <v/>
      </c>
    </row>
    <row r="14">
      <c r="A14" s="40" t="inlineStr">
        <is>
          <t>Parents</t>
        </is>
      </c>
      <c r="B14" s="34">
        <f>COUNTIF('Test Cases'!B2:B139,"Parents")</f>
        <v/>
      </c>
      <c r="C14" s="34">
        <f>COUNTIFS('Test Cases'!B2:B139,"Parents",'Test Cases'!J2:J139,"Pass")</f>
        <v/>
      </c>
      <c r="D14" s="34">
        <f>COUNTIFS('Test Cases'!B2:B139,"Parents",'Test Cases'!J2:J139,"Fail")</f>
        <v/>
      </c>
      <c r="E14" s="34">
        <f>COUNTIFS('Test Cases'!B2:B139,"Parents",'Test Cases'!J2:J139,"Blocked")</f>
        <v/>
      </c>
      <c r="F14" s="34">
        <f>COUNTIFS('Test Cases'!B2:B139,"Parents",'Test Cases'!J2:J139,"Not Run")</f>
        <v/>
      </c>
      <c r="G14" s="35">
        <f>IF(B14=0,0,C14/B14)</f>
        <v/>
      </c>
    </row>
    <row r="15">
      <c r="A15" s="41" t="inlineStr">
        <is>
          <t>Attendance</t>
        </is>
      </c>
      <c r="B15" s="34">
        <f>COUNTIF('Test Cases'!B2:B139,"Attendance")</f>
        <v/>
      </c>
      <c r="C15" s="34">
        <f>COUNTIFS('Test Cases'!B2:B139,"Attendance",'Test Cases'!J2:J139,"Pass")</f>
        <v/>
      </c>
      <c r="D15" s="34">
        <f>COUNTIFS('Test Cases'!B2:B139,"Attendance",'Test Cases'!J2:J139,"Fail")</f>
        <v/>
      </c>
      <c r="E15" s="34">
        <f>COUNTIFS('Test Cases'!B2:B139,"Attendance",'Test Cases'!J2:J139,"Blocked")</f>
        <v/>
      </c>
      <c r="F15" s="34">
        <f>COUNTIFS('Test Cases'!B2:B139,"Attendance",'Test Cases'!J2:J139,"Not Run")</f>
        <v/>
      </c>
      <c r="G15" s="35">
        <f>IF(B15=0,0,C15/B15)</f>
        <v/>
      </c>
    </row>
    <row r="16">
      <c r="A16" s="42" t="inlineStr">
        <is>
          <t>Messaging</t>
        </is>
      </c>
      <c r="B16" s="34">
        <f>COUNTIF('Test Cases'!B2:B139,"Messaging")</f>
        <v/>
      </c>
      <c r="C16" s="34">
        <f>COUNTIFS('Test Cases'!B2:B139,"Messaging",'Test Cases'!J2:J139,"Pass")</f>
        <v/>
      </c>
      <c r="D16" s="34">
        <f>COUNTIFS('Test Cases'!B2:B139,"Messaging",'Test Cases'!J2:J139,"Fail")</f>
        <v/>
      </c>
      <c r="E16" s="34">
        <f>COUNTIFS('Test Cases'!B2:B139,"Messaging",'Test Cases'!J2:J139,"Blocked")</f>
        <v/>
      </c>
      <c r="F16" s="34">
        <f>COUNTIFS('Test Cases'!B2:B139,"Messaging",'Test Cases'!J2:J139,"Not Run")</f>
        <v/>
      </c>
      <c r="G16" s="35">
        <f>IF(B16=0,0,C16/B16)</f>
        <v/>
      </c>
    </row>
    <row r="17">
      <c r="A17" s="43" t="inlineStr">
        <is>
          <t>Files</t>
        </is>
      </c>
      <c r="B17" s="34">
        <f>COUNTIF('Test Cases'!B2:B139,"Files")</f>
        <v/>
      </c>
      <c r="C17" s="34">
        <f>COUNTIFS('Test Cases'!B2:B139,"Files",'Test Cases'!J2:J139,"Pass")</f>
        <v/>
      </c>
      <c r="D17" s="34">
        <f>COUNTIFS('Test Cases'!B2:B139,"Files",'Test Cases'!J2:J139,"Fail")</f>
        <v/>
      </c>
      <c r="E17" s="34">
        <f>COUNTIFS('Test Cases'!B2:B139,"Files",'Test Cases'!J2:J139,"Blocked")</f>
        <v/>
      </c>
      <c r="F17" s="34">
        <f>COUNTIFS('Test Cases'!B2:B139,"Files",'Test Cases'!J2:J139,"Not Run")</f>
        <v/>
      </c>
      <c r="G17" s="35">
        <f>IF(B17=0,0,C17/B17)</f>
        <v/>
      </c>
    </row>
    <row r="18">
      <c r="A18" s="44" t="inlineStr">
        <is>
          <t>Reports</t>
        </is>
      </c>
      <c r="B18" s="34">
        <f>COUNTIF('Test Cases'!B2:B139,"Reports")</f>
        <v/>
      </c>
      <c r="C18" s="34">
        <f>COUNTIFS('Test Cases'!B2:B139,"Reports",'Test Cases'!J2:J139,"Pass")</f>
        <v/>
      </c>
      <c r="D18" s="34">
        <f>COUNTIFS('Test Cases'!B2:B139,"Reports",'Test Cases'!J2:J139,"Fail")</f>
        <v/>
      </c>
      <c r="E18" s="34">
        <f>COUNTIFS('Test Cases'!B2:B139,"Reports",'Test Cases'!J2:J139,"Blocked")</f>
        <v/>
      </c>
      <c r="F18" s="34">
        <f>COUNTIFS('Test Cases'!B2:B139,"Reports",'Test Cases'!J2:J139,"Not Run")</f>
        <v/>
      </c>
      <c r="G18" s="35">
        <f>IF(B18=0,0,C18/B18)</f>
        <v/>
      </c>
    </row>
    <row r="19">
      <c r="A19" s="45" t="inlineStr">
        <is>
          <t>Academic</t>
        </is>
      </c>
      <c r="B19" s="34">
        <f>COUNTIF('Test Cases'!B2:B139,"Academic")</f>
        <v/>
      </c>
      <c r="C19" s="34">
        <f>COUNTIFS('Test Cases'!B2:B139,"Academic",'Test Cases'!J2:J139,"Pass")</f>
        <v/>
      </c>
      <c r="D19" s="34">
        <f>COUNTIFS('Test Cases'!B2:B139,"Academic",'Test Cases'!J2:J139,"Fail")</f>
        <v/>
      </c>
      <c r="E19" s="34">
        <f>COUNTIFS('Test Cases'!B2:B139,"Academic",'Test Cases'!J2:J139,"Blocked")</f>
        <v/>
      </c>
      <c r="F19" s="34">
        <f>COUNTIFS('Test Cases'!B2:B139,"Academic",'Test Cases'!J2:J139,"Not Run")</f>
        <v/>
      </c>
      <c r="G19" s="35">
        <f>IF(B19=0,0,C19/B19)</f>
        <v/>
      </c>
    </row>
    <row r="20">
      <c r="A20" s="46" t="inlineStr">
        <is>
          <t>Timetable</t>
        </is>
      </c>
      <c r="B20" s="34">
        <f>COUNTIF('Test Cases'!B2:B139,"Timetable")</f>
        <v/>
      </c>
      <c r="C20" s="34">
        <f>COUNTIFS('Test Cases'!B2:B139,"Timetable",'Test Cases'!J2:J139,"Pass")</f>
        <v/>
      </c>
      <c r="D20" s="34">
        <f>COUNTIFS('Test Cases'!B2:B139,"Timetable",'Test Cases'!J2:J139,"Fail")</f>
        <v/>
      </c>
      <c r="E20" s="34">
        <f>COUNTIFS('Test Cases'!B2:B139,"Timetable",'Test Cases'!J2:J139,"Blocked")</f>
        <v/>
      </c>
      <c r="F20" s="34">
        <f>COUNTIFS('Test Cases'!B2:B139,"Timetable",'Test Cases'!J2:J139,"Not Run")</f>
        <v/>
      </c>
      <c r="G20" s="35">
        <f>IF(B20=0,0,C20/B20)</f>
        <v/>
      </c>
    </row>
    <row r="21">
      <c r="A21" s="39" t="inlineStr">
        <is>
          <t>Billing</t>
        </is>
      </c>
      <c r="B21" s="34">
        <f>COUNTIF('Test Cases'!B2:B139,"Billing")</f>
        <v/>
      </c>
      <c r="C21" s="34">
        <f>COUNTIFS('Test Cases'!B2:B139,"Billing",'Test Cases'!J2:J139,"Pass")</f>
        <v/>
      </c>
      <c r="D21" s="34">
        <f>COUNTIFS('Test Cases'!B2:B139,"Billing",'Test Cases'!J2:J139,"Fail")</f>
        <v/>
      </c>
      <c r="E21" s="34">
        <f>COUNTIFS('Test Cases'!B2:B139,"Billing",'Test Cases'!J2:J139,"Blocked")</f>
        <v/>
      </c>
      <c r="F21" s="34">
        <f>COUNTIFS('Test Cases'!B2:B139,"Billing",'Test Cases'!J2:J139,"Not Run")</f>
        <v/>
      </c>
      <c r="G21" s="35">
        <f>IF(B21=0,0,C21/B21)</f>
        <v/>
      </c>
    </row>
    <row r="22">
      <c r="A22" s="36" t="inlineStr">
        <is>
          <t>Subscriptions</t>
        </is>
      </c>
      <c r="B22" s="34">
        <f>COUNTIF('Test Cases'!B2:B139,"Subscriptions")</f>
        <v/>
      </c>
      <c r="C22" s="34">
        <f>COUNTIFS('Test Cases'!B2:B139,"Subscriptions",'Test Cases'!J2:J139,"Pass")</f>
        <v/>
      </c>
      <c r="D22" s="34">
        <f>COUNTIFS('Test Cases'!B2:B139,"Subscriptions",'Test Cases'!J2:J139,"Fail")</f>
        <v/>
      </c>
      <c r="E22" s="34">
        <f>COUNTIFS('Test Cases'!B2:B139,"Subscriptions",'Test Cases'!J2:J139,"Blocked")</f>
        <v/>
      </c>
      <c r="F22" s="34">
        <f>COUNTIFS('Test Cases'!B2:B139,"Subscriptions",'Test Cases'!J2:J139,"Not Run")</f>
        <v/>
      </c>
      <c r="G22" s="35">
        <f>IF(B22=0,0,C22/B22)</f>
        <v/>
      </c>
    </row>
    <row r="23">
      <c r="A23" s="47" t="inlineStr">
        <is>
          <t>Settings</t>
        </is>
      </c>
      <c r="B23" s="34">
        <f>COUNTIF('Test Cases'!B2:B139,"Settings")</f>
        <v/>
      </c>
      <c r="C23" s="34">
        <f>COUNTIFS('Test Cases'!B2:B139,"Settings",'Test Cases'!J2:J139,"Pass")</f>
        <v/>
      </c>
      <c r="D23" s="34">
        <f>COUNTIFS('Test Cases'!B2:B139,"Settings",'Test Cases'!J2:J139,"Fail")</f>
        <v/>
      </c>
      <c r="E23" s="34">
        <f>COUNTIFS('Test Cases'!B2:B139,"Settings",'Test Cases'!J2:J139,"Blocked")</f>
        <v/>
      </c>
      <c r="F23" s="34">
        <f>COUNTIFS('Test Cases'!B2:B139,"Settings",'Test Cases'!J2:J139,"Not Run")</f>
        <v/>
      </c>
      <c r="G23" s="35">
        <f>IF(B23=0,0,C23/B23)</f>
        <v/>
      </c>
    </row>
    <row r="24">
      <c r="A24" s="48" t="inlineStr">
        <is>
          <t>Security</t>
        </is>
      </c>
      <c r="B24" s="34">
        <f>COUNTIF('Test Cases'!B2:B139,"Security")</f>
        <v/>
      </c>
      <c r="C24" s="34">
        <f>COUNTIFS('Test Cases'!B2:B139,"Security",'Test Cases'!J2:J139,"Pass")</f>
        <v/>
      </c>
      <c r="D24" s="34">
        <f>COUNTIFS('Test Cases'!B2:B139,"Security",'Test Cases'!J2:J139,"Fail")</f>
        <v/>
      </c>
      <c r="E24" s="34">
        <f>COUNTIFS('Test Cases'!B2:B139,"Security",'Test Cases'!J2:J139,"Blocked")</f>
        <v/>
      </c>
      <c r="F24" s="34">
        <f>COUNTIFS('Test Cases'!B2:B139,"Security",'Test Cases'!J2:J139,"Not Run")</f>
        <v/>
      </c>
      <c r="G24" s="35">
        <f>IF(B24=0,0,C24/B24)</f>
        <v/>
      </c>
    </row>
    <row r="25">
      <c r="A25" s="49" t="inlineStr">
        <is>
          <t>UI/UX</t>
        </is>
      </c>
      <c r="B25" s="34">
        <f>COUNTIF('Test Cases'!B2:B139,"UI/UX")</f>
        <v/>
      </c>
      <c r="C25" s="34">
        <f>COUNTIFS('Test Cases'!B2:B139,"UI/UX",'Test Cases'!J2:J139,"Pass")</f>
        <v/>
      </c>
      <c r="D25" s="34">
        <f>COUNTIFS('Test Cases'!B2:B139,"UI/UX",'Test Cases'!J2:J139,"Fail")</f>
        <v/>
      </c>
      <c r="E25" s="34">
        <f>COUNTIFS('Test Cases'!B2:B139,"UI/UX",'Test Cases'!J2:J139,"Blocked")</f>
        <v/>
      </c>
      <c r="F25" s="34">
        <f>COUNTIFS('Test Cases'!B2:B139,"UI/UX",'Test Cases'!J2:J139,"Not Run")</f>
        <v/>
      </c>
      <c r="G25" s="35">
        <f>IF(B25=0,0,C25/B25)</f>
        <v/>
      </c>
    </row>
    <row r="28">
      <c r="A28" s="29" t="inlineStr">
        <is>
          <t>By Priority</t>
        </is>
      </c>
    </row>
    <row r="29">
      <c r="A29" s="30" t="inlineStr">
        <is>
          <t>Priority</t>
        </is>
      </c>
      <c r="B29" s="30" t="inlineStr">
        <is>
          <t>Total</t>
        </is>
      </c>
      <c r="C29" s="30" t="inlineStr">
        <is>
          <t>Pass</t>
        </is>
      </c>
      <c r="D29" s="30" t="inlineStr">
        <is>
          <t>Fail</t>
        </is>
      </c>
      <c r="E29" s="30" t="inlineStr">
        <is>
          <t>Pass %</t>
        </is>
      </c>
    </row>
    <row r="30">
      <c r="A30" s="50" t="inlineStr">
        <is>
          <t>Critical</t>
        </is>
      </c>
      <c r="B30" s="34">
        <f>COUNTIF('Test Cases'!H2:H139,"Critical")</f>
        <v/>
      </c>
      <c r="C30" s="34">
        <f>COUNTIFS('Test Cases'!H2:H139,"Critical",'Test Cases'!J2:J139,"Pass")</f>
        <v/>
      </c>
      <c r="D30" s="34">
        <f>COUNTIFS('Test Cases'!H2:H139,"Critical",'Test Cases'!J2:J139,"Fail")</f>
        <v/>
      </c>
      <c r="E30" s="35">
        <f>IF(B30=0,0,C30/B30)</f>
        <v/>
      </c>
    </row>
    <row r="31">
      <c r="A31" s="51" t="inlineStr">
        <is>
          <t>High</t>
        </is>
      </c>
      <c r="B31" s="34">
        <f>COUNTIF('Test Cases'!H2:H139,"High")</f>
        <v/>
      </c>
      <c r="C31" s="34">
        <f>COUNTIFS('Test Cases'!H2:H139,"High",'Test Cases'!J2:J139,"Pass")</f>
        <v/>
      </c>
      <c r="D31" s="34">
        <f>COUNTIFS('Test Cases'!H2:H139,"High",'Test Cases'!J2:J139,"Fail")</f>
        <v/>
      </c>
      <c r="E31" s="35">
        <f>IF(B31=0,0,C31/B31)</f>
        <v/>
      </c>
    </row>
    <row r="32">
      <c r="A32" s="52" t="inlineStr">
        <is>
          <t>Medium</t>
        </is>
      </c>
      <c r="B32" s="34">
        <f>COUNTIF('Test Cases'!H2:H139,"Medium")</f>
        <v/>
      </c>
      <c r="C32" s="34">
        <f>COUNTIFS('Test Cases'!H2:H139,"Medium",'Test Cases'!J2:J139,"Pass")</f>
        <v/>
      </c>
      <c r="D32" s="34">
        <f>COUNTIFS('Test Cases'!H2:H139,"Medium",'Test Cases'!J2:J139,"Fail")</f>
        <v/>
      </c>
      <c r="E32" s="35">
        <f>IF(B32=0,0,C32/B32)</f>
        <v/>
      </c>
    </row>
    <row r="33">
      <c r="A33" s="53" t="inlineStr">
        <is>
          <t>Low</t>
        </is>
      </c>
      <c r="B33" s="34">
        <f>COUNTIF('Test Cases'!H2:H139,"Low")</f>
        <v/>
      </c>
      <c r="C33" s="34">
        <f>COUNTIFS('Test Cases'!H2:H139,"Low",'Test Cases'!J2:J139,"Pass")</f>
        <v/>
      </c>
      <c r="D33" s="34">
        <f>COUNTIFS('Test Cases'!H2:H139,"Low",'Test Cases'!J2:J139,"Fail")</f>
        <v/>
      </c>
      <c r="E33" s="35">
        <f>IF(B33=0,0,C33/B33)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2026-04-09T18:29:58Z</dcterms:created>
  <dcterms:modified xsi:type="dcterms:W3CDTF">2026-04-09T18:29:58Z</dcterms:modified>
</cp:coreProperties>
</file>